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nfopunto\Downloads\"/>
    </mc:Choice>
  </mc:AlternateContent>
  <xr:revisionPtr revIDLastSave="0" documentId="8_{6E4E9E46-50A1-4545-AD91-10CDA9D75662}" xr6:coauthVersionLast="36" xr6:coauthVersionMax="36" xr10:uidLastSave="{00000000-0000-0000-0000-000000000000}"/>
  <bookViews>
    <workbookView xWindow="0" yWindow="0" windowWidth="28800" windowHeight="12105" xr2:uid="{B0421F47-E23F-4087-BE39-5618D0E0832F}"/>
  </bookViews>
  <sheets>
    <sheet name="Proveedores" sheetId="4" r:id="rId1"/>
    <sheet name="Ordenes de Compra " sheetId="2" r:id="rId2"/>
    <sheet name="OC VISUAL" sheetId="9" r:id="rId3"/>
    <sheet name="Ficha de Productos" sheetId="1" r:id="rId4"/>
    <sheet name="Inventario " sheetId="3" r:id="rId5"/>
    <sheet name="Clientes" sheetId="6" r:id="rId6"/>
    <sheet name="Ventas" sheetId="5" r:id="rId7"/>
    <sheet name="Factura de Venta" sheetId="16" r:id="rId8"/>
    <sheet name="Costos" sheetId="8" r:id="rId9"/>
    <sheet name="No Inventariable" sheetId="17" r:id="rId10"/>
    <sheet name="Analisis de productos" sheetId="12" r:id="rId11"/>
    <sheet name="Financiero " sheetId="13" r:id="rId12"/>
    <sheet name="Control IVA" sheetId="14" r:id="rId13"/>
    <sheet name="Visualización de Datos" sheetId="15" r:id="rId14"/>
  </sheets>
  <definedNames>
    <definedName name="SegmentaciónDeDatos_Categoría">#N/A</definedName>
  </definedNames>
  <calcPr calcId="191029"/>
  <pivotCaches>
    <pivotCache cacheId="0" r:id="rId15"/>
  </pivotCaches>
  <extLst>
    <ext xmlns:x14="http://schemas.microsoft.com/office/spreadsheetml/2009/9/main" uri="{BBE1A952-AA13-448e-AADC-164F8A28A991}">
      <x14:slicerCaches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4" l="1"/>
  <c r="E2" i="17"/>
  <c r="B8" i="13" l="1"/>
  <c r="E4" i="17"/>
  <c r="E3" i="17"/>
  <c r="F4" i="17"/>
  <c r="F3" i="17"/>
  <c r="E70" i="16"/>
  <c r="E69" i="16"/>
  <c r="F69" i="16" s="1"/>
  <c r="E66" i="16"/>
  <c r="E65" i="16"/>
  <c r="E64" i="16"/>
  <c r="E63" i="16"/>
  <c r="E55" i="16"/>
  <c r="B57" i="16" s="1"/>
  <c r="F54" i="16"/>
  <c r="G54" i="16" s="1"/>
  <c r="E54" i="16"/>
  <c r="E51" i="16"/>
  <c r="E50" i="16"/>
  <c r="E49" i="16"/>
  <c r="E48" i="16"/>
  <c r="E40" i="16"/>
  <c r="G39" i="16"/>
  <c r="F39" i="16"/>
  <c r="E39" i="16"/>
  <c r="E36" i="16"/>
  <c r="E35" i="16"/>
  <c r="E34" i="16"/>
  <c r="E33" i="16"/>
  <c r="E25" i="16"/>
  <c r="B27" i="16" s="1"/>
  <c r="G24" i="16"/>
  <c r="F24" i="16"/>
  <c r="E24" i="16"/>
  <c r="E21" i="16"/>
  <c r="E20" i="16"/>
  <c r="E19" i="16"/>
  <c r="E18" i="16"/>
  <c r="B14" i="16"/>
  <c r="B13" i="16"/>
  <c r="B12" i="16"/>
  <c r="G10" i="16"/>
  <c r="G9" i="16"/>
  <c r="E10" i="16"/>
  <c r="F10" i="16" s="1"/>
  <c r="E9" i="16"/>
  <c r="F9" i="16" s="1"/>
  <c r="B5" i="16"/>
  <c r="E5" i="16" s="1"/>
  <c r="B4" i="16"/>
  <c r="G69" i="16" l="1"/>
  <c r="B72" i="16"/>
  <c r="F70" i="16"/>
  <c r="B73" i="16" s="1"/>
  <c r="F55" i="16"/>
  <c r="G55" i="16" s="1"/>
  <c r="F40" i="16"/>
  <c r="G40" i="16" s="1"/>
  <c r="F25" i="16"/>
  <c r="G25" i="16" s="1"/>
  <c r="E3" i="16"/>
  <c r="E6" i="16"/>
  <c r="E4" i="16"/>
  <c r="D4" i="12"/>
  <c r="E4" i="12" s="1"/>
  <c r="D6" i="12"/>
  <c r="E6" i="12" s="1"/>
  <c r="D3" i="12"/>
  <c r="E3" i="12" s="1"/>
  <c r="D5" i="12"/>
  <c r="E5" i="12" s="1"/>
  <c r="D7" i="12"/>
  <c r="E7" i="12" s="1"/>
  <c r="D8" i="12"/>
  <c r="E8" i="12" s="1"/>
  <c r="D9" i="12"/>
  <c r="E9" i="12" s="1"/>
  <c r="D10" i="12"/>
  <c r="E10" i="12" s="1"/>
  <c r="I10" i="12" s="1"/>
  <c r="D11" i="12"/>
  <c r="E11" i="12" s="1"/>
  <c r="I11" i="12" s="1"/>
  <c r="D12" i="12"/>
  <c r="E12" i="12" s="1"/>
  <c r="I12" i="12" s="1"/>
  <c r="D13" i="12"/>
  <c r="E13" i="12" s="1"/>
  <c r="D14" i="12"/>
  <c r="E14" i="12" s="1"/>
  <c r="D15" i="12"/>
  <c r="E15" i="12" s="1"/>
  <c r="D16" i="12"/>
  <c r="E16" i="12" s="1"/>
  <c r="D17" i="12"/>
  <c r="E17" i="12" s="1"/>
  <c r="D2" i="12"/>
  <c r="E2" i="12" s="1"/>
  <c r="A38" i="15" s="1"/>
  <c r="B74" i="16" l="1"/>
  <c r="G70" i="16"/>
  <c r="B58" i="16"/>
  <c r="B59" i="16" s="1"/>
  <c r="B42" i="16"/>
  <c r="B43" i="16"/>
  <c r="B28" i="16"/>
  <c r="B29" i="16" s="1"/>
  <c r="J9" i="12"/>
  <c r="J7" i="12"/>
  <c r="J4" i="12"/>
  <c r="J14" i="12"/>
  <c r="L7" i="12"/>
  <c r="I9" i="12"/>
  <c r="J12" i="12"/>
  <c r="I8" i="12"/>
  <c r="J8" i="12" s="1"/>
  <c r="J11" i="12"/>
  <c r="B4" i="13"/>
  <c r="L5" i="12"/>
  <c r="I7" i="12"/>
  <c r="J10" i="12"/>
  <c r="L4" i="12"/>
  <c r="I6" i="12"/>
  <c r="J6" i="12" s="1"/>
  <c r="L15" i="12"/>
  <c r="L3" i="12"/>
  <c r="I5" i="12"/>
  <c r="J5" i="12" s="1"/>
  <c r="L14" i="12"/>
  <c r="I17" i="12"/>
  <c r="J17" i="12" s="1"/>
  <c r="I4" i="12"/>
  <c r="I16" i="12"/>
  <c r="J16" i="12" s="1"/>
  <c r="I3" i="12"/>
  <c r="J3" i="12" s="1"/>
  <c r="L12" i="12"/>
  <c r="I15" i="12"/>
  <c r="J15" i="12" s="1"/>
  <c r="I38" i="15"/>
  <c r="I14" i="12"/>
  <c r="I13" i="12"/>
  <c r="J13" i="12" s="1"/>
  <c r="L9" i="12"/>
  <c r="I2" i="12"/>
  <c r="F12" i="12"/>
  <c r="G12" i="12" s="1"/>
  <c r="H12" i="12" s="1"/>
  <c r="F11" i="12"/>
  <c r="G11" i="12" s="1"/>
  <c r="H11" i="12" s="1"/>
  <c r="L11" i="12" s="1"/>
  <c r="F2" i="12"/>
  <c r="F6" i="12"/>
  <c r="G6" i="12" s="1"/>
  <c r="H6" i="12" s="1"/>
  <c r="L6" i="12" s="1"/>
  <c r="F17" i="12"/>
  <c r="G17" i="12" s="1"/>
  <c r="H17" i="12" s="1"/>
  <c r="L17" i="12" s="1"/>
  <c r="F5" i="12"/>
  <c r="G5" i="12" s="1"/>
  <c r="H5" i="12" s="1"/>
  <c r="F10" i="12"/>
  <c r="G10" i="12" s="1"/>
  <c r="H10" i="12" s="1"/>
  <c r="L10" i="12" s="1"/>
  <c r="F16" i="12"/>
  <c r="G16" i="12" s="1"/>
  <c r="H16" i="12" s="1"/>
  <c r="L16" i="12" s="1"/>
  <c r="F4" i="12"/>
  <c r="G4" i="12" s="1"/>
  <c r="H4" i="12" s="1"/>
  <c r="F15" i="12"/>
  <c r="G15" i="12" s="1"/>
  <c r="H15" i="12" s="1"/>
  <c r="F3" i="12"/>
  <c r="G3" i="12" s="1"/>
  <c r="H3" i="12" s="1"/>
  <c r="F14" i="12"/>
  <c r="G14" i="12" s="1"/>
  <c r="H14" i="12" s="1"/>
  <c r="F13" i="12"/>
  <c r="G13" i="12" s="1"/>
  <c r="H13" i="12" s="1"/>
  <c r="L13" i="12" s="1"/>
  <c r="F9" i="12"/>
  <c r="G9" i="12" s="1"/>
  <c r="H9" i="12" s="1"/>
  <c r="F8" i="12"/>
  <c r="G8" i="12" s="1"/>
  <c r="H8" i="12" s="1"/>
  <c r="L8" i="12" s="1"/>
  <c r="F7" i="12"/>
  <c r="G7" i="12" s="1"/>
  <c r="H7" i="12" s="1"/>
  <c r="E13" i="8"/>
  <c r="E11" i="8"/>
  <c r="E10" i="8"/>
  <c r="E9" i="8"/>
  <c r="E8" i="8"/>
  <c r="E7" i="8"/>
  <c r="E6" i="8"/>
  <c r="E5" i="8"/>
  <c r="E4" i="8"/>
  <c r="E3" i="8"/>
  <c r="E2" i="8"/>
  <c r="D11" i="8"/>
  <c r="D3" i="8"/>
  <c r="D4" i="8"/>
  <c r="D5" i="8"/>
  <c r="D6" i="8"/>
  <c r="D7" i="8"/>
  <c r="D8" i="8"/>
  <c r="D9" i="8"/>
  <c r="D10" i="8"/>
  <c r="D2" i="8"/>
  <c r="B44" i="16" l="1"/>
  <c r="J2" i="12"/>
  <c r="B4" i="14"/>
  <c r="B7" i="14" s="1"/>
  <c r="G2" i="12"/>
  <c r="B5" i="13"/>
  <c r="B7" i="13" s="1"/>
  <c r="B10" i="13" s="1"/>
  <c r="B12" i="13" s="1"/>
  <c r="C2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2" i="3"/>
  <c r="E5" i="3"/>
  <c r="K5" i="12" s="1"/>
  <c r="E17" i="3"/>
  <c r="K17" i="12" s="1"/>
  <c r="D3" i="3"/>
  <c r="E3" i="3" s="1"/>
  <c r="K3" i="12" s="1"/>
  <c r="D4" i="3"/>
  <c r="E4" i="3" s="1"/>
  <c r="K4" i="12" s="1"/>
  <c r="D5" i="3"/>
  <c r="D6" i="3"/>
  <c r="E6" i="3" s="1"/>
  <c r="K6" i="12" s="1"/>
  <c r="D7" i="3"/>
  <c r="E7" i="3" s="1"/>
  <c r="K7" i="12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D2" i="3"/>
  <c r="E2" i="3" s="1"/>
  <c r="K2" i="12" s="1"/>
  <c r="J3" i="5"/>
  <c r="J9" i="5"/>
  <c r="I3" i="5"/>
  <c r="I4" i="5"/>
  <c r="J4" i="5" s="1"/>
  <c r="I5" i="5"/>
  <c r="I9" i="5"/>
  <c r="I10" i="5"/>
  <c r="I11" i="5"/>
  <c r="H3" i="5"/>
  <c r="H4" i="5"/>
  <c r="H5" i="5"/>
  <c r="J5" i="5" s="1"/>
  <c r="H6" i="5"/>
  <c r="I6" i="5" s="1"/>
  <c r="H7" i="5"/>
  <c r="I7" i="5" s="1"/>
  <c r="H8" i="5"/>
  <c r="I8" i="5" s="1"/>
  <c r="J8" i="5" s="1"/>
  <c r="H9" i="5"/>
  <c r="H10" i="5"/>
  <c r="J10" i="5" s="1"/>
  <c r="H11" i="5"/>
  <c r="J11" i="5" s="1"/>
  <c r="H2" i="5"/>
  <c r="A39" i="9"/>
  <c r="A35" i="9"/>
  <c r="B65" i="2"/>
  <c r="B64" i="2"/>
  <c r="B63" i="2"/>
  <c r="B62" i="2"/>
  <c r="E41" i="2"/>
  <c r="E40" i="2"/>
  <c r="E39" i="2"/>
  <c r="B41" i="2"/>
  <c r="B40" i="2"/>
  <c r="B39" i="2"/>
  <c r="E22" i="2"/>
  <c r="E21" i="2"/>
  <c r="E20" i="2"/>
  <c r="E18" i="2"/>
  <c r="E17" i="2"/>
  <c r="E16" i="2"/>
  <c r="B18" i="2"/>
  <c r="B17" i="2"/>
  <c r="B16" i="2"/>
  <c r="B20" i="2" s="1"/>
  <c r="E43" i="2" l="1"/>
  <c r="B43" i="2"/>
  <c r="K13" i="12"/>
  <c r="G13" i="3"/>
  <c r="K9" i="12"/>
  <c r="G9" i="3"/>
  <c r="K12" i="12"/>
  <c r="G12" i="3"/>
  <c r="K11" i="12"/>
  <c r="G11" i="3"/>
  <c r="K8" i="12"/>
  <c r="G8" i="3"/>
  <c r="K15" i="12"/>
  <c r="G15" i="3"/>
  <c r="K10" i="12"/>
  <c r="G10" i="3"/>
  <c r="K14" i="12"/>
  <c r="G14" i="3"/>
  <c r="F38" i="15"/>
  <c r="K16" i="12"/>
  <c r="G16" i="3"/>
  <c r="J7" i="5"/>
  <c r="G7" i="3"/>
  <c r="J6" i="5"/>
  <c r="G2" i="3"/>
  <c r="G6" i="3"/>
  <c r="H13" i="5"/>
  <c r="G5" i="3"/>
  <c r="G4" i="3"/>
  <c r="G3" i="3"/>
  <c r="C22" i="3"/>
  <c r="G17" i="3"/>
  <c r="H2" i="12"/>
  <c r="L2" i="12" s="1"/>
  <c r="C38" i="15"/>
  <c r="I2" i="5"/>
  <c r="I13" i="5" s="1"/>
  <c r="G19" i="3"/>
  <c r="B67" i="2"/>
  <c r="B68" i="2"/>
  <c r="B69" i="2" s="1"/>
  <c r="E44" i="2"/>
  <c r="E45" i="2" s="1"/>
  <c r="B44" i="2"/>
  <c r="B45" i="2" s="1"/>
  <c r="B21" i="2"/>
  <c r="B22" i="2" s="1"/>
  <c r="J2" i="5" l="1"/>
  <c r="J13" i="5" s="1"/>
</calcChain>
</file>

<file path=xl/sharedStrings.xml><?xml version="1.0" encoding="utf-8"?>
<sst xmlns="http://schemas.openxmlformats.org/spreadsheetml/2006/main" count="775" uniqueCount="273">
  <si>
    <t>SKU</t>
  </si>
  <si>
    <t>Nombre</t>
  </si>
  <si>
    <t>Categoría</t>
  </si>
  <si>
    <t>Talla</t>
  </si>
  <si>
    <t>Color</t>
  </si>
  <si>
    <t>Costo Neto</t>
  </si>
  <si>
    <t>Precio NETO (venta)</t>
  </si>
  <si>
    <t>Abrigo Café Mufon</t>
  </si>
  <si>
    <t>Abrigo</t>
  </si>
  <si>
    <t>U</t>
  </si>
  <si>
    <t>Café</t>
  </si>
  <si>
    <t>Abrigo Verde Lana</t>
  </si>
  <si>
    <t>Verde Musgo</t>
  </si>
  <si>
    <t>Amarillo</t>
  </si>
  <si>
    <t>Abrigo Chenille</t>
  </si>
  <si>
    <t>Blusa Básica</t>
  </si>
  <si>
    <t>Blusa Elegante</t>
  </si>
  <si>
    <t>Blusa Casual</t>
  </si>
  <si>
    <t>Blusa</t>
  </si>
  <si>
    <t>S</t>
  </si>
  <si>
    <t>M</t>
  </si>
  <si>
    <t>L</t>
  </si>
  <si>
    <t>Blanca</t>
  </si>
  <si>
    <t>Negra</t>
  </si>
  <si>
    <t>Morada</t>
  </si>
  <si>
    <t>Pantalón Tela</t>
  </si>
  <si>
    <t>Jeans</t>
  </si>
  <si>
    <t>Pantalón Básico</t>
  </si>
  <si>
    <t>Pantalón</t>
  </si>
  <si>
    <t>Negro</t>
  </si>
  <si>
    <t>Azul</t>
  </si>
  <si>
    <t>Zapato Romana</t>
  </si>
  <si>
    <t>Botín Café Flexi</t>
  </si>
  <si>
    <t>Sandalia Beige</t>
  </si>
  <si>
    <t>Zapato</t>
  </si>
  <si>
    <t>Beige</t>
  </si>
  <si>
    <t>Bolso Legítimo</t>
  </si>
  <si>
    <t>Accesorio</t>
  </si>
  <si>
    <t>Bolso Legitimo Albacara</t>
  </si>
  <si>
    <t>Cinturón Cuero</t>
  </si>
  <si>
    <t>Aretes Oro</t>
  </si>
  <si>
    <t>Diseño Negro</t>
  </si>
  <si>
    <t>Diseño Café</t>
  </si>
  <si>
    <t>Dorado</t>
  </si>
  <si>
    <t>ABRG001</t>
  </si>
  <si>
    <t>ABRG002</t>
  </si>
  <si>
    <t>ABRG003</t>
  </si>
  <si>
    <t>BLSB001</t>
  </si>
  <si>
    <t>BLSE002</t>
  </si>
  <si>
    <t>BLSC003</t>
  </si>
  <si>
    <t>PT001</t>
  </si>
  <si>
    <t>PT002</t>
  </si>
  <si>
    <t>JNS003</t>
  </si>
  <si>
    <t>ZPT001</t>
  </si>
  <si>
    <t>ZPT002</t>
  </si>
  <si>
    <t>ZPT003</t>
  </si>
  <si>
    <t>BLSL001</t>
  </si>
  <si>
    <t>BLSL002</t>
  </si>
  <si>
    <t>CC001</t>
  </si>
  <si>
    <t>AU001</t>
  </si>
  <si>
    <t>OC 001 "ABRIGOS"</t>
  </si>
  <si>
    <t>PRODUCTO:</t>
  </si>
  <si>
    <t>SKU:</t>
  </si>
  <si>
    <t>Dirección:</t>
  </si>
  <si>
    <t>Rut:</t>
  </si>
  <si>
    <t>"Datos proveedor"</t>
  </si>
  <si>
    <t>"Datos Comprador"</t>
  </si>
  <si>
    <t>Empresa:</t>
  </si>
  <si>
    <t>"Detalle de Compra"</t>
  </si>
  <si>
    <t>Abrigos Los Andes</t>
  </si>
  <si>
    <t>77.978.8769-7</t>
  </si>
  <si>
    <t>Los Andes, Chile</t>
  </si>
  <si>
    <t>Abrigosfrios.cl</t>
  </si>
  <si>
    <t>77.756.968-8</t>
  </si>
  <si>
    <t>Av. Carlos Schorr, Talca</t>
  </si>
  <si>
    <t>Legacy.cl</t>
  </si>
  <si>
    <t>ABRG001-ABRG003</t>
  </si>
  <si>
    <t>Abrigo Café Mufon (10)</t>
  </si>
  <si>
    <t>Abrigo Verde Lana (10)</t>
  </si>
  <si>
    <t>Abrigo Chenille (10)</t>
  </si>
  <si>
    <t>CANTIDAD TOTAL:</t>
  </si>
  <si>
    <t xml:space="preserve">Total Neto: </t>
  </si>
  <si>
    <t>IVA%:</t>
  </si>
  <si>
    <t xml:space="preserve">Total : </t>
  </si>
  <si>
    <t>Blusas Sur de Chile</t>
  </si>
  <si>
    <t>Patalonía, Chile</t>
  </si>
  <si>
    <t>Contacto:</t>
  </si>
  <si>
    <t>Blusasellas.cl</t>
  </si>
  <si>
    <t>Blusa Básica (10)</t>
  </si>
  <si>
    <t>Blusa Elegante (10)</t>
  </si>
  <si>
    <t>Blusa Casual (10)</t>
  </si>
  <si>
    <t>OC 002 "BLUSAS"</t>
  </si>
  <si>
    <t>Pantalones elegantes SPA</t>
  </si>
  <si>
    <t>Talca, Chile</t>
  </si>
  <si>
    <t>Confecciónmanual.cl</t>
  </si>
  <si>
    <t>PT001-JNS003</t>
  </si>
  <si>
    <t>Pantalón Tela (10)</t>
  </si>
  <si>
    <t>Pantalón Básico (10)</t>
  </si>
  <si>
    <t>Jeans (10)</t>
  </si>
  <si>
    <t xml:space="preserve">Costo: </t>
  </si>
  <si>
    <t>Costo:</t>
  </si>
  <si>
    <t>OC 003 "PANTALÓN"</t>
  </si>
  <si>
    <t>Flexi, SPA</t>
  </si>
  <si>
    <t>Flexiechoes.cl</t>
  </si>
  <si>
    <t>Zapato Romana (10)</t>
  </si>
  <si>
    <t>Botín Café Flexi (10)</t>
  </si>
  <si>
    <t>Sandalia Beige (10)</t>
  </si>
  <si>
    <t>OC 004 "ZAPATOS"</t>
  </si>
  <si>
    <t>OC 005 "ACCESORIOS"</t>
  </si>
  <si>
    <t>LEGITIMO</t>
  </si>
  <si>
    <t>Colbún,Chile</t>
  </si>
  <si>
    <t>Legitimotrinidad.cl</t>
  </si>
  <si>
    <t>Bolso Legítimo (10)</t>
  </si>
  <si>
    <t>Bolso Legitimo Albacara (10)</t>
  </si>
  <si>
    <t>Cinturón Cuero (10)</t>
  </si>
  <si>
    <t>Aretes Oro (10)</t>
  </si>
  <si>
    <t>ID</t>
  </si>
  <si>
    <t>RUT</t>
  </si>
  <si>
    <t>Condición pago</t>
  </si>
  <si>
    <t>Contacto</t>
  </si>
  <si>
    <t>P01</t>
  </si>
  <si>
    <t>P02</t>
  </si>
  <si>
    <t>P03</t>
  </si>
  <si>
    <t>P04</t>
  </si>
  <si>
    <t>P05</t>
  </si>
  <si>
    <t>Transferencia</t>
  </si>
  <si>
    <t>78.7566.94785-9</t>
  </si>
  <si>
    <t>67.9457.847-9</t>
  </si>
  <si>
    <t>77.857.9867-6</t>
  </si>
  <si>
    <t>Entradas</t>
  </si>
  <si>
    <t>Salidas</t>
  </si>
  <si>
    <t>Stock</t>
  </si>
  <si>
    <t xml:space="preserve">Costo unitario </t>
  </si>
  <si>
    <t>Valor (inventario)</t>
  </si>
  <si>
    <t>Fecha</t>
  </si>
  <si>
    <t>Cantidad</t>
  </si>
  <si>
    <t>IVA DF</t>
  </si>
  <si>
    <t>Producto</t>
  </si>
  <si>
    <t>Cant</t>
  </si>
  <si>
    <t>Costo Unitario</t>
  </si>
  <si>
    <t>Total Neto</t>
  </si>
  <si>
    <t>OC001 – Proveedor Abrigos</t>
  </si>
  <si>
    <t>OC002 – Proveedor Blusas</t>
  </si>
  <si>
    <t>OC003 – Proveedor Pantalones</t>
  </si>
  <si>
    <t>OC004 – Proveedor Calzado</t>
  </si>
  <si>
    <t>OC005 – Proveedor Accesorios</t>
  </si>
  <si>
    <t>Total</t>
  </si>
  <si>
    <t>IVA CF</t>
  </si>
  <si>
    <t>TOTAL COMPRAS (Salida de caja)</t>
  </si>
  <si>
    <t>INVERSIÓN EN MERCADERÍA:</t>
  </si>
  <si>
    <t>Neto</t>
  </si>
  <si>
    <t>ID_Cliente</t>
  </si>
  <si>
    <t>V001</t>
  </si>
  <si>
    <t>CL001</t>
  </si>
  <si>
    <t>María Pérez</t>
  </si>
  <si>
    <t>V002</t>
  </si>
  <si>
    <t>CL002</t>
  </si>
  <si>
    <t>Juan Soto</t>
  </si>
  <si>
    <t>V003</t>
  </si>
  <si>
    <t>CL003</t>
  </si>
  <si>
    <t>Ana Rojas</t>
  </si>
  <si>
    <t>V004</t>
  </si>
  <si>
    <t>CL004</t>
  </si>
  <si>
    <t>Pedro Díaz</t>
  </si>
  <si>
    <t>V005</t>
  </si>
  <si>
    <t>CL005</t>
  </si>
  <si>
    <t>Sofía León</t>
  </si>
  <si>
    <t>ID VENTA</t>
  </si>
  <si>
    <t>Rut</t>
  </si>
  <si>
    <t>Comuna</t>
  </si>
  <si>
    <t>Email</t>
  </si>
  <si>
    <t>12.345.678-9</t>
  </si>
  <si>
    <t>Santiago</t>
  </si>
  <si>
    <t>13.456.789-0</t>
  </si>
  <si>
    <t>Providencia</t>
  </si>
  <si>
    <t>14.567.890-1</t>
  </si>
  <si>
    <t>Ñuñoa</t>
  </si>
  <si>
    <t>15.678.901-2</t>
  </si>
  <si>
    <t>Maipú</t>
  </si>
  <si>
    <t>16.789.012-3</t>
  </si>
  <si>
    <t>La Florida</t>
  </si>
  <si>
    <t>Precio Unitario</t>
  </si>
  <si>
    <t>TOTAL DF</t>
  </si>
  <si>
    <t>Total Venta</t>
  </si>
  <si>
    <t>TOTAL NETO</t>
  </si>
  <si>
    <t>ID Cliente</t>
  </si>
  <si>
    <t>maria.perez@mail.cl</t>
  </si>
  <si>
    <t>juan.soto@mail.cl</t>
  </si>
  <si>
    <t>ana.rojas@mail.cl</t>
  </si>
  <si>
    <t>pedro.diaz@mail.cl</t>
  </si>
  <si>
    <t>sofia.leon@mail.cl</t>
  </si>
  <si>
    <t>Valor total inventario</t>
  </si>
  <si>
    <t>INGRESAR SKU -&gt;</t>
  </si>
  <si>
    <t>"BUSCADOR"</t>
  </si>
  <si>
    <t>Detalle del producto:</t>
  </si>
  <si>
    <t>Stock disponible:</t>
  </si>
  <si>
    <t>Cantidad Vendida</t>
  </si>
  <si>
    <t xml:space="preserve">Costo Total </t>
  </si>
  <si>
    <t>Total de costos</t>
  </si>
  <si>
    <t>Ventas</t>
  </si>
  <si>
    <t>Margen</t>
  </si>
  <si>
    <t>Ingresos (neto)</t>
  </si>
  <si>
    <t>Fecha:</t>
  </si>
  <si>
    <t>Fecha de Compra</t>
  </si>
  <si>
    <t>Costo total</t>
  </si>
  <si>
    <t>Utilidad</t>
  </si>
  <si>
    <t>Total Ventas</t>
  </si>
  <si>
    <t>Rotación</t>
  </si>
  <si>
    <t>ESTADO</t>
  </si>
  <si>
    <t>Concepto</t>
  </si>
  <si>
    <t>Monto</t>
  </si>
  <si>
    <t>Ingresos por ventas</t>
  </si>
  <si>
    <t>(-) Costo de Ventas</t>
  </si>
  <si>
    <t>Utilidad Bruta</t>
  </si>
  <si>
    <t>(-) Gastos</t>
  </si>
  <si>
    <t>Utilidad Neta</t>
  </si>
  <si>
    <t xml:space="preserve">Estado de Resultados - Análisis Financiero del Sistema de Gestión </t>
  </si>
  <si>
    <t>Margen Total</t>
  </si>
  <si>
    <t>Período: Abril 2026</t>
  </si>
  <si>
    <t>IVA Débito Fiscal</t>
  </si>
  <si>
    <t>IVA Crédito Fiscal</t>
  </si>
  <si>
    <t xml:space="preserve">"Determinación de IVA" </t>
  </si>
  <si>
    <t>IVA a Favor</t>
  </si>
  <si>
    <t>Total general</t>
  </si>
  <si>
    <t>Suma de Utilidad</t>
  </si>
  <si>
    <t>Suma de Ventas</t>
  </si>
  <si>
    <t>Relación de ventas y utilidad por categoría</t>
  </si>
  <si>
    <t>VENTAS TOTALES</t>
  </si>
  <si>
    <t>UTILIDAD</t>
  </si>
  <si>
    <t>MARGEN</t>
  </si>
  <si>
    <t>SIN VENTAS</t>
  </si>
  <si>
    <t>ID Venta</t>
  </si>
  <si>
    <t>Detalle de Venta</t>
  </si>
  <si>
    <t xml:space="preserve">Nombre </t>
  </si>
  <si>
    <t>RUT:</t>
  </si>
  <si>
    <t>Comuna:</t>
  </si>
  <si>
    <t>Email:</t>
  </si>
  <si>
    <t>Datos del Cliente</t>
  </si>
  <si>
    <t>TOTAL IVA</t>
  </si>
  <si>
    <t>TOTAL ORDEN</t>
  </si>
  <si>
    <t>OBSERVACIONES:</t>
  </si>
  <si>
    <t>Entrega normal</t>
  </si>
  <si>
    <t>Legacy SPA</t>
  </si>
  <si>
    <t>Descripción</t>
  </si>
  <si>
    <t>Arriendo</t>
  </si>
  <si>
    <t>Local boutique</t>
  </si>
  <si>
    <t>Logística</t>
  </si>
  <si>
    <t>Envíos pedidos</t>
  </si>
  <si>
    <t>Subcategoría</t>
  </si>
  <si>
    <t>Medio de Pago</t>
  </si>
  <si>
    <t>Gasto Operacional</t>
  </si>
  <si>
    <t>Gasto de Venta</t>
  </si>
  <si>
    <t>Marketing Digital</t>
  </si>
  <si>
    <t>Tarjeta</t>
  </si>
  <si>
    <t>Efectivo</t>
  </si>
  <si>
    <t>“Esto indica que el negocio es rentable, aunque con un margen reducido, lo que evidencia la necesidad de optimizar la gestión de costos y gastos para fortalecer la rentabilidad y asegurar un desempeño financiero más sostenible en el tiempo.”</t>
  </si>
  <si>
    <t>NETO</t>
  </si>
  <si>
    <t xml:space="preserve">TOTAL </t>
  </si>
  <si>
    <t>Este resultado refleja que el volumen de compras y gastos afectos a IVA supera las ventas del período, evidenciando una estructura de costos y gastos significativa en relación con los ingresos generados.</t>
  </si>
  <si>
    <t>Tipo Documento</t>
  </si>
  <si>
    <t>Factura</t>
  </si>
  <si>
    <t>N°Doc</t>
  </si>
  <si>
    <t>77.978.8769-8</t>
  </si>
  <si>
    <t>IVA $</t>
  </si>
  <si>
    <t>DOCUMENTO DE VENTA N°001</t>
  </si>
  <si>
    <t>DOCUMENTO DE VENTA N°002</t>
  </si>
  <si>
    <t>DOCUMENTO DE VENTA N°003</t>
  </si>
  <si>
    <t>DOCUMENTO DE VENTA N°004</t>
  </si>
  <si>
    <t>DOCUMENTO DE VENTA N°005</t>
  </si>
  <si>
    <t>Forma de pago</t>
  </si>
  <si>
    <t>IVA Crédito</t>
  </si>
  <si>
    <t xml:space="preserve">Publicidad 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</si>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</sst>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_ * #,##0.0_ ;_ * \-#,##0.0_ ;_ * &quot;-&quot;_ ;_ @_ "/>
    <numFmt numFmtId="165" formatCode="#,##0_ ;\-#,##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Lucida Bright"/>
      <family val="1"/>
    </font>
    <font>
      <b/>
      <sz val="12"/>
      <color theme="0"/>
      <name val="Lucida Bright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Lucida Bright"/>
      <family val="1"/>
    </font>
    <font>
      <b/>
      <sz val="11"/>
      <color theme="0"/>
      <name val="Lucida Bright"/>
      <family val="1"/>
    </font>
    <font>
      <u/>
      <sz val="11"/>
      <color theme="10"/>
      <name val="Lucida Bright"/>
      <family val="1"/>
    </font>
    <font>
      <sz val="11"/>
      <color theme="1"/>
      <name val="Calibri"/>
      <family val="2"/>
      <scheme val="minor"/>
    </font>
    <font>
      <b/>
      <i/>
      <sz val="11"/>
      <color theme="1"/>
      <name val="Lucida Bright"/>
      <family val="1"/>
    </font>
    <font>
      <b/>
      <sz val="12"/>
      <color theme="1"/>
      <name val="Lucida Bright"/>
      <family val="1"/>
    </font>
    <font>
      <b/>
      <sz val="14"/>
      <color theme="1"/>
      <name val="Lucida Bright"/>
      <family val="1"/>
    </font>
    <font>
      <sz val="14"/>
      <color theme="1"/>
      <name val="Lucida Bright"/>
      <family val="1"/>
    </font>
    <font>
      <b/>
      <sz val="14"/>
      <color theme="0"/>
      <name val="Lucida Bright"/>
      <family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</cellStyleXfs>
  <cellXfs count="121">
    <xf numFmtId="0" fontId="0" fillId="0" borderId="0" xfId="0"/>
    <xf numFmtId="0" fontId="1" fillId="0" borderId="0" xfId="0" applyFont="1"/>
    <xf numFmtId="3" fontId="2" fillId="2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3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center"/>
    </xf>
    <xf numFmtId="0" fontId="6" fillId="0" borderId="0" xfId="1" applyFont="1" applyAlignment="1">
      <alignment horizontal="center" vertical="center" wrapText="1"/>
    </xf>
    <xf numFmtId="3" fontId="5" fillId="2" borderId="0" xfId="0" applyNumberFormat="1" applyFont="1" applyFill="1" applyAlignment="1">
      <alignment horizontal="center"/>
    </xf>
    <xf numFmtId="3" fontId="5" fillId="2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left" vertical="center" wrapText="1"/>
    </xf>
    <xf numFmtId="3" fontId="1" fillId="0" borderId="0" xfId="0" applyNumberFormat="1" applyFont="1" applyBorder="1" applyAlignment="1">
      <alignment horizontal="left" vertical="center" wrapText="1"/>
    </xf>
    <xf numFmtId="3" fontId="1" fillId="0" borderId="0" xfId="2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9" fontId="1" fillId="0" borderId="0" xfId="2" applyFont="1" applyAlignment="1">
      <alignment horizontal="center" vertical="center"/>
    </xf>
    <xf numFmtId="164" fontId="5" fillId="2" borderId="0" xfId="3" applyNumberFormat="1" applyFont="1" applyFill="1" applyAlignment="1">
      <alignment horizontal="center" vertical="center"/>
    </xf>
    <xf numFmtId="164" fontId="1" fillId="0" borderId="0" xfId="3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2" fontId="1" fillId="0" borderId="0" xfId="4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42" fontId="1" fillId="0" borderId="2" xfId="4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3" fontId="1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1" fillId="0" borderId="0" xfId="0" applyNumberFormat="1" applyFont="1" applyFill="1" applyAlignment="1">
      <alignment vertical="center"/>
    </xf>
    <xf numFmtId="14" fontId="1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3" fontId="1" fillId="0" borderId="0" xfId="0" applyNumberFormat="1" applyFont="1" applyBorder="1" applyAlignment="1">
      <alignment vertical="center"/>
    </xf>
    <xf numFmtId="3" fontId="1" fillId="0" borderId="0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vertical="center"/>
    </xf>
    <xf numFmtId="14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5" fillId="2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 wrapText="1"/>
    </xf>
    <xf numFmtId="3" fontId="1" fillId="5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9" fontId="4" fillId="5" borderId="0" xfId="2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3" fontId="4" fillId="7" borderId="0" xfId="0" applyNumberFormat="1" applyFont="1" applyFill="1" applyAlignment="1">
      <alignment horizontal="center" vertical="center" wrapText="1"/>
    </xf>
    <xf numFmtId="3" fontId="4" fillId="7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3" fontId="4" fillId="8" borderId="0" xfId="0" applyNumberFormat="1" applyFont="1" applyFill="1" applyBorder="1" applyAlignment="1">
      <alignment horizontal="left" vertical="center"/>
    </xf>
    <xf numFmtId="3" fontId="4" fillId="8" borderId="0" xfId="0" applyNumberFormat="1" applyFont="1" applyFill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14" fontId="1" fillId="0" borderId="0" xfId="0" applyNumberFormat="1" applyFont="1" applyBorder="1" applyAlignment="1">
      <alignment horizontal="left" vertical="center"/>
    </xf>
    <xf numFmtId="3" fontId="1" fillId="0" borderId="0" xfId="0" applyNumberFormat="1" applyFont="1" applyBorder="1" applyAlignment="1">
      <alignment horizontal="left" vertical="center"/>
    </xf>
    <xf numFmtId="42" fontId="1" fillId="0" borderId="0" xfId="4" applyFont="1" applyBorder="1" applyAlignment="1">
      <alignment horizontal="center" vertical="center" wrapText="1"/>
    </xf>
    <xf numFmtId="42" fontId="1" fillId="0" borderId="0" xfId="4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/>
    </xf>
    <xf numFmtId="42" fontId="1" fillId="0" borderId="0" xfId="4" applyFont="1" applyAlignment="1">
      <alignment horizontal="center" vertical="center" wrapText="1"/>
    </xf>
    <xf numFmtId="3" fontId="4" fillId="0" borderId="0" xfId="0" applyNumberFormat="1" applyFont="1" applyAlignment="1">
      <alignment horizontal="left" vertical="center"/>
    </xf>
    <xf numFmtId="42" fontId="1" fillId="0" borderId="0" xfId="4" applyFont="1" applyAlignment="1">
      <alignment vertical="center"/>
    </xf>
    <xf numFmtId="3" fontId="4" fillId="3" borderId="0" xfId="0" applyNumberFormat="1" applyFont="1" applyFill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3" fontId="4" fillId="0" borderId="0" xfId="0" applyNumberFormat="1" applyFont="1" applyBorder="1" applyAlignment="1">
      <alignment horizontal="center" vertical="center"/>
    </xf>
    <xf numFmtId="42" fontId="1" fillId="0" borderId="0" xfId="4" applyFont="1" applyBorder="1" applyAlignment="1">
      <alignment horizontal="center" vertical="center"/>
    </xf>
    <xf numFmtId="42" fontId="4" fillId="0" borderId="0" xfId="4" applyFont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3" fontId="3" fillId="0" borderId="0" xfId="1" applyNumberFormat="1" applyBorder="1" applyAlignment="1">
      <alignment horizontal="left" vertical="center"/>
    </xf>
    <xf numFmtId="165" fontId="1" fillId="0" borderId="0" xfId="4" applyNumberFormat="1" applyFont="1" applyBorder="1" applyAlignment="1">
      <alignment horizontal="right" vertical="center"/>
    </xf>
    <xf numFmtId="42" fontId="1" fillId="0" borderId="0" xfId="4" applyFont="1" applyAlignment="1">
      <alignment horizontal="center" vertical="center"/>
    </xf>
    <xf numFmtId="42" fontId="1" fillId="0" borderId="0" xfId="4" applyFont="1" applyAlignment="1">
      <alignment horizontal="center"/>
    </xf>
    <xf numFmtId="42" fontId="1" fillId="7" borderId="0" xfId="4" applyFont="1" applyFill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42" fontId="4" fillId="0" borderId="0" xfId="4" applyFont="1" applyAlignment="1">
      <alignment horizontal="center" vertical="center"/>
    </xf>
    <xf numFmtId="42" fontId="4" fillId="0" borderId="2" xfId="4" applyFont="1" applyBorder="1" applyAlignment="1">
      <alignment horizontal="center" vertical="center"/>
    </xf>
    <xf numFmtId="42" fontId="4" fillId="0" borderId="0" xfId="4" applyNumberFormat="1" applyFont="1" applyAlignment="1">
      <alignment horizontal="center" vertical="center"/>
    </xf>
    <xf numFmtId="9" fontId="4" fillId="0" borderId="2" xfId="2" applyFont="1" applyBorder="1" applyAlignment="1">
      <alignment horizontal="right" vertical="center"/>
    </xf>
    <xf numFmtId="0" fontId="9" fillId="8" borderId="0" xfId="0" applyFont="1" applyFill="1" applyAlignment="1">
      <alignment horizontal="center" vertical="center"/>
    </xf>
    <xf numFmtId="3" fontId="9" fillId="8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42" fontId="10" fillId="8" borderId="0" xfId="0" applyNumberFormat="1" applyFont="1" applyFill="1" applyAlignment="1">
      <alignment horizontal="left" vertical="center"/>
    </xf>
    <xf numFmtId="42" fontId="10" fillId="8" borderId="0" xfId="0" applyNumberFormat="1" applyFont="1" applyFill="1" applyAlignment="1">
      <alignment vertical="center"/>
    </xf>
    <xf numFmtId="3" fontId="11" fillId="8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</cellXfs>
  <cellStyles count="5">
    <cellStyle name="Hipervínculo" xfId="1" builtinId="8"/>
    <cellStyle name="Millares [0]" xfId="3" builtinId="6"/>
    <cellStyle name="Moneda [0]" xfId="4" builtinId="7"/>
    <cellStyle name="Normal" xfId="0" builtinId="0"/>
    <cellStyle name="Porcentaje" xfId="2" builtinId="5"/>
  </cellStyles>
  <dxfs count="2322"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b/>
      </font>
    </dxf>
    <dxf>
      <font>
        <b/>
      </font>
    </dxf>
    <dxf>
      <font>
        <b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sz val="11"/>
      </font>
    </dxf>
    <dxf>
      <font>
        <sz val="12"/>
      </font>
    </dxf>
    <dxf>
      <font>
        <sz val="11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1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Lucida Bright"/>
        <family val="1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Lucida Bright"/>
        <family val="1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ucida Bright"/>
        <family val="1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ucida Bright"/>
        <family val="1"/>
        <scheme val="none"/>
      </font>
      <numFmt numFmtId="3" formatCode="#,##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ucida Bright"/>
        <family val="1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ucida Bright"/>
        <family val="1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Lucida Bright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ucida Bright"/>
        <family val="1"/>
        <scheme val="none"/>
      </font>
      <numFmt numFmtId="3" formatCode="#,##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Lucida Bright"/>
        <family val="1"/>
        <scheme val="none"/>
      </font>
      <numFmt numFmtId="3" formatCode="#,##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ucida Bright"/>
        <family val="1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sz val="11"/>
      </font>
    </dxf>
    <dxf>
      <font>
        <sz val="11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numFmt numFmtId="3" formatCode="#,##0"/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name val="Lucida Brigh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Bright"/>
        <family val="1"/>
        <scheme val="none"/>
      </font>
      <numFmt numFmtId="3" formatCode="#,##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ucida Bright"/>
        <family val="1"/>
        <scheme val="none"/>
      </font>
      <numFmt numFmtId="3" formatCode="#,##0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Estilo de segmentación de datos 1" pivot="0" table="0" count="0" xr9:uid="{E6AB07B4-28BA-47C5-8BF4-DCDCF6F5ABDF}"/>
  </tableStyles>
  <colors>
    <mruColors>
      <color rgb="FF00CC00"/>
      <color rgb="FF66FF99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[V13 ERP Excel TP.KM.xlsx]Visualización de Datos!TablaDinámica1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Lucida Bright" panose="02040602050505020304" pitchFamily="18" charset="0"/>
              </a:rPr>
              <a:t>Utilidad por Producto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pattFill prst="narHorz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dk1">
                <a:tint val="88500"/>
              </a:schemeClr>
            </a:innerShdw>
          </a:effectLst>
        </c:spPr>
        <c:marker>
          <c:symbol val="circle"/>
          <c:size val="6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2189113847303645"/>
          <c:y val="0.25538157688879443"/>
          <c:w val="0.80796313584453672"/>
          <c:h val="0.64138303231945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'Visualización de Datos'!$B$1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dk1">
                  <a:tint val="88500"/>
                </a:schemeClr>
              </a:fgClr>
              <a:bgClr>
                <a:schemeClr val="dk1">
                  <a:tint val="885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dk1">
                  <a:tint val="88500"/>
                </a:schemeClr>
              </a:innerShdw>
            </a:effectLst>
          </c:spPr>
          <c:invertIfNegative val="0"/>
          <c:cat>
            <c:strRef>
              <c:f>'Visualización de Datos'!$A$2:$A$5</c:f>
              <c:strCache>
                <c:ptCount val="3"/>
                <c:pt idx="0">
                  <c:v>Abrigo Café Mufon</c:v>
                </c:pt>
                <c:pt idx="1">
                  <c:v>Abrigo Chenille</c:v>
                </c:pt>
                <c:pt idx="2">
                  <c:v>Abrigo Verde Lana</c:v>
                </c:pt>
              </c:strCache>
            </c:strRef>
          </c:cat>
          <c:val>
            <c:numRef>
              <c:f>'Visualización de Datos'!$B$2:$B$5</c:f>
              <c:numCache>
                <c:formatCode>#,##0</c:formatCode>
                <c:ptCount val="3"/>
                <c:pt idx="0">
                  <c:v>60000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7-40AC-8EF9-61633DEF9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27466944"/>
        <c:axId val="508790816"/>
      </c:barChart>
      <c:catAx>
        <c:axId val="202746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Bright" panose="02040602050505020304" pitchFamily="18" charset="0"/>
                <a:ea typeface="+mn-ea"/>
                <a:cs typeface="+mn-cs"/>
              </a:defRPr>
            </a:pPr>
            <a:endParaRPr lang="es-CL"/>
          </a:p>
        </c:txPr>
        <c:crossAx val="508790816"/>
        <c:crosses val="autoZero"/>
        <c:auto val="1"/>
        <c:lblAlgn val="ctr"/>
        <c:lblOffset val="100"/>
        <c:noMultiLvlLbl val="0"/>
      </c:catAx>
      <c:valAx>
        <c:axId val="50879081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2746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[V13 ERP Excel TP.KM.xlsx]Visualización de Datos!TablaDinámica2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latin typeface="Lucida Bright" panose="02040602050505020304" pitchFamily="18" charset="0"/>
              </a:rPr>
              <a:t>Ventas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dk1">
                  <a:tint val="88500"/>
                </a:schemeClr>
              </a:solidFill>
              <a:round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'Visualización de Datos'!$B$21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'Visualización de Datos'!$A$22:$A$23</c:f>
              <c:strCache>
                <c:ptCount val="1"/>
                <c:pt idx="0">
                  <c:v>Abrigo</c:v>
                </c:pt>
              </c:strCache>
            </c:strRef>
          </c:cat>
          <c:val>
            <c:numRef>
              <c:f>'Visualización de Datos'!$B$22:$B$23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F-46D1-95DD-21D28685B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02144800"/>
        <c:axId val="595597472"/>
      </c:barChart>
      <c:catAx>
        <c:axId val="60214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5597472"/>
        <c:crosses val="autoZero"/>
        <c:auto val="1"/>
        <c:lblAlgn val="ctr"/>
        <c:lblOffset val="100"/>
        <c:noMultiLvlLbl val="0"/>
      </c:catAx>
      <c:valAx>
        <c:axId val="59559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214480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204786</xdr:colOff>
      <xdr:row>0</xdr:row>
      <xdr:rowOff>90487</xdr:rowOff>
    </xdr:from>
    <xdr:to>
      <xdr:col>10</xdr:col>
      <xdr:colOff>247649</xdr:colOff>
      <xdr:row>18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41138A-C06A-44F9-884A-AEB4C40EC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274637</xdr:colOff>
      <xdr:row>19</xdr:row>
      <xdr:rowOff>169862</xdr:rowOff>
    </xdr:from>
    <xdr:to>
      <xdr:col>10</xdr:col>
      <xdr:colOff>264583</xdr:colOff>
      <xdr:row>34</xdr:row>
      <xdr:rowOff>65087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E05D88-E196-43A9-A840-AC3F5438E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174625</xdr:colOff>
      <xdr:row>6</xdr:row>
      <xdr:rowOff>107950</xdr:rowOff>
    </xdr:from>
    <xdr:to>
      <xdr:col>1</xdr:col>
      <xdr:colOff>555360</xdr:colOff>
      <xdr:row>17</xdr:row>
      <xdr:rowOff>73026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ía">
              <a:extLst>
                <a:ext uri="{FF2B5EF4-FFF2-40B4-BE49-F238E27FC236}">
                  <a16:creationId xmlns:a16="http://schemas.microsoft.com/office/drawing/2014/main" id="{BE72F40A-EC30-4203-9A51-5541C2BEAA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625" y="1465263"/>
              <a:ext cx="1833298" cy="20605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fopunto" refreshedDate="46120.51731909722" createdVersion="6" refreshedVersion="6" minRefreshableVersion="3" recordCount="16" xr:uid="{10932C48-099A-4A93-8E9D-AEB99DC30A7C}">
  <cacheSource type="worksheet">
    <worksheetSource name="Tabla2"/>
  </cacheSource>
  <cacheFields count="12">
    <cacheField name="SKU" numFmtId="3">
      <sharedItems/>
    </cacheField>
    <cacheField name="Producto" numFmtId="3">
      <sharedItems count="16">
        <s v="Abrigo Café Mufon"/>
        <s v="Abrigo Verde Lana"/>
        <s v="Abrigo Chenille"/>
        <s v="Blusa Básica"/>
        <s v="Blusa Elegante"/>
        <s v="Blusa Casual"/>
        <s v="Pantalón Tela"/>
        <s v="Pantalón Básico"/>
        <s v="Jeans"/>
        <s v="Zapato Romana"/>
        <s v="Botín Café Flexi"/>
        <s v="Sandalia Beige"/>
        <s v="Bolso Legítimo"/>
        <s v="Bolso Legitimo Albacara"/>
        <s v="Cinturón Cuero"/>
        <s v="Aretes Oro"/>
      </sharedItems>
    </cacheField>
    <cacheField name="Categoría" numFmtId="3">
      <sharedItems count="6">
        <s v="Abrigo"/>
        <s v="Blusa"/>
        <s v="Pantalón"/>
        <s v="Jeans"/>
        <s v="Zapato"/>
        <s v="Accesorio"/>
      </sharedItems>
    </cacheField>
    <cacheField name="Ventas" numFmtId="3">
      <sharedItems containsSemiMixedTypes="0" containsString="0" containsNumber="1" containsInteger="1" minValue="0" maxValue="3"/>
    </cacheField>
    <cacheField name="Ingresos (neto)" numFmtId="3">
      <sharedItems containsSemiMixedTypes="0" containsString="0" containsNumber="1" containsInteger="1" minValue="0" maxValue="140000"/>
    </cacheField>
    <cacheField name="Costo total" numFmtId="3">
      <sharedItems containsSemiMixedTypes="0" containsString="0" containsNumber="1" containsInteger="1" minValue="0" maxValue="90000"/>
    </cacheField>
    <cacheField name="Utilidad" numFmtId="3">
      <sharedItems containsSemiMixedTypes="0" containsString="0" containsNumber="1" containsInteger="1" minValue="0" maxValue="90000" count="7">
        <n v="60000"/>
        <n v="0"/>
        <n v="40000"/>
        <n v="20000"/>
        <n v="30000"/>
        <n v="50000"/>
        <n v="90000"/>
      </sharedItems>
    </cacheField>
    <cacheField name="Margen" numFmtId="9">
      <sharedItems containsSemiMixedTypes="0" containsString="0" containsNumber="1" minValue="0" maxValue="0.75"/>
    </cacheField>
    <cacheField name="IVA DF" numFmtId="3">
      <sharedItems containsSemiMixedTypes="0" containsString="0" containsNumber="1" containsInteger="1" minValue="0" maxValue="26600"/>
    </cacheField>
    <cacheField name="Total Ventas" numFmtId="3">
      <sharedItems containsSemiMixedTypes="0" containsString="0" containsNumber="1" containsInteger="1" minValue="0" maxValue="166600"/>
    </cacheField>
    <cacheField name="Rotación" numFmtId="9">
      <sharedItems containsSemiMixedTypes="0" containsString="0" containsNumber="1" minValue="0" maxValue="0.42857142857142855"/>
    </cacheField>
    <cacheField name="ESTADO" numFmtId="3">
      <sharedItems/>
    </cacheField>
  </cacheFields>
  <extLst>
    <ext xmlns:x14="http://schemas.microsoft.com/office/spreadsheetml/2009/9/main" uri="{725AE2AE-9491-48be-B2B4-4EB974FC3084}">
      <x14:pivotCacheDefinition pivotCacheId="18752387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ABRG001"/>
    <x v="0"/>
    <x v="0"/>
    <n v="2"/>
    <n v="120000"/>
    <n v="60000"/>
    <x v="0"/>
    <n v="0.5"/>
    <n v="22800"/>
    <n v="142800"/>
    <n v="0.25"/>
    <s v="Normal"/>
  </r>
  <r>
    <s v="ABRG002"/>
    <x v="1"/>
    <x v="0"/>
    <n v="0"/>
    <n v="0"/>
    <n v="0"/>
    <x v="1"/>
    <n v="0"/>
    <n v="0"/>
    <n v="0"/>
    <n v="0"/>
    <s v="Sin Ventas"/>
  </r>
  <r>
    <s v="ABRG003"/>
    <x v="2"/>
    <x v="0"/>
    <n v="0"/>
    <n v="0"/>
    <n v="0"/>
    <x v="1"/>
    <n v="0"/>
    <n v="0"/>
    <n v="0"/>
    <n v="0"/>
    <s v="Sin Ventas"/>
  </r>
  <r>
    <s v="BLSB001"/>
    <x v="3"/>
    <x v="1"/>
    <n v="3"/>
    <n v="120000"/>
    <n v="60000"/>
    <x v="0"/>
    <n v="0.5"/>
    <n v="22800"/>
    <n v="142800"/>
    <n v="0.42857142857142855"/>
    <s v="Normal"/>
  </r>
  <r>
    <s v="BLSE002"/>
    <x v="4"/>
    <x v="1"/>
    <n v="2"/>
    <n v="80000"/>
    <n v="40000"/>
    <x v="2"/>
    <n v="0.5"/>
    <n v="15200"/>
    <n v="95200"/>
    <n v="0.25"/>
    <s v="Normal"/>
  </r>
  <r>
    <s v="BLSC003"/>
    <x v="5"/>
    <x v="1"/>
    <n v="0"/>
    <n v="0"/>
    <n v="0"/>
    <x v="1"/>
    <n v="0"/>
    <n v="0"/>
    <n v="0"/>
    <n v="0"/>
    <s v="Sin Ventas"/>
  </r>
  <r>
    <s v="PT001"/>
    <x v="6"/>
    <x v="2"/>
    <n v="2"/>
    <n v="120000"/>
    <n v="80000"/>
    <x v="2"/>
    <n v="0.33333333333333331"/>
    <n v="22800"/>
    <n v="142800"/>
    <n v="0.25"/>
    <s v="Bajo Margen"/>
  </r>
  <r>
    <s v="PT002"/>
    <x v="7"/>
    <x v="2"/>
    <n v="0"/>
    <n v="0"/>
    <n v="0"/>
    <x v="1"/>
    <n v="0"/>
    <n v="0"/>
    <n v="0"/>
    <n v="0"/>
    <s v="Sin Ventas"/>
  </r>
  <r>
    <s v="JNS003"/>
    <x v="8"/>
    <x v="3"/>
    <n v="1"/>
    <n v="55000"/>
    <n v="35000"/>
    <x v="3"/>
    <n v="0.36363636363636365"/>
    <n v="10450"/>
    <n v="65450"/>
    <n v="0.1111111111111111"/>
    <s v="Baja Rotación"/>
  </r>
  <r>
    <s v="ZPT001"/>
    <x v="9"/>
    <x v="4"/>
    <n v="1"/>
    <n v="80000"/>
    <n v="50000"/>
    <x v="4"/>
    <n v="0.375"/>
    <n v="15200"/>
    <n v="95200"/>
    <n v="0.1111111111111111"/>
    <s v="Baja Rotación"/>
  </r>
  <r>
    <s v="ZPT002"/>
    <x v="10"/>
    <x v="4"/>
    <n v="0"/>
    <n v="0"/>
    <n v="0"/>
    <x v="1"/>
    <n v="0"/>
    <n v="0"/>
    <n v="0"/>
    <n v="0"/>
    <s v="Sin Ventas"/>
  </r>
  <r>
    <s v="ZPT003"/>
    <x v="11"/>
    <x v="4"/>
    <n v="2"/>
    <n v="140000"/>
    <n v="90000"/>
    <x v="5"/>
    <n v="0.35714285714285715"/>
    <n v="26600"/>
    <n v="166600"/>
    <n v="0.25"/>
    <s v="Bajo Margen"/>
  </r>
  <r>
    <s v="BLSL001"/>
    <x v="12"/>
    <x v="5"/>
    <n v="1"/>
    <n v="120000"/>
    <n v="30000"/>
    <x v="6"/>
    <n v="0.75"/>
    <n v="22800"/>
    <n v="142800"/>
    <n v="0.1111111111111111"/>
    <s v="Baja Rotación"/>
  </r>
  <r>
    <s v="BLSL002"/>
    <x v="13"/>
    <x v="5"/>
    <n v="0"/>
    <n v="0"/>
    <n v="0"/>
    <x v="1"/>
    <n v="0"/>
    <n v="0"/>
    <n v="0"/>
    <n v="0"/>
    <s v="Sin Ventas"/>
  </r>
  <r>
    <s v="CC001"/>
    <x v="14"/>
    <x v="5"/>
    <n v="2"/>
    <n v="100000"/>
    <n v="40000"/>
    <x v="0"/>
    <n v="0.6"/>
    <n v="19000"/>
    <n v="119000"/>
    <n v="0.25"/>
    <s v="Estrella"/>
  </r>
  <r>
    <s v="AU001"/>
    <x v="15"/>
    <x v="5"/>
    <n v="1"/>
    <n v="120000"/>
    <n v="70000"/>
    <x v="5"/>
    <n v="0.41666666666666669"/>
    <n v="22800"/>
    <n v="142800"/>
    <n v="0.1111111111111111"/>
    <s v="Baja Rotació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7D5C8-CBE6-4A67-A6BF-5F3510F36484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Producto">
  <location ref="A1:B5" firstHeaderRow="1" firstDataRow="1" firstDataCol="1"/>
  <pivotFields count="12">
    <pivotField showAll="0"/>
    <pivotField axis="axisRow" showAll="0">
      <items count="17">
        <item x="0"/>
        <item x="2"/>
        <item x="1"/>
        <item x="15"/>
        <item x="3"/>
        <item x="5"/>
        <item x="4"/>
        <item x="12"/>
        <item x="13"/>
        <item x="10"/>
        <item x="14"/>
        <item x="8"/>
        <item x="7"/>
        <item x="6"/>
        <item x="11"/>
        <item x="9"/>
        <item t="default"/>
      </items>
    </pivotField>
    <pivotField showAll="0">
      <items count="7">
        <item x="0"/>
        <item h="1" x="5"/>
        <item h="1" x="1"/>
        <item h="1" x="3"/>
        <item h="1" x="2"/>
        <item h="1" x="4"/>
        <item t="default"/>
      </items>
    </pivotField>
    <pivotField numFmtId="3" showAll="0"/>
    <pivotField numFmtId="3" showAll="0"/>
    <pivotField numFmtId="3" showAll="0"/>
    <pivotField dataField="1" numFmtId="3" showAll="0">
      <items count="8">
        <item h="1" x="1"/>
        <item h="1" x="3"/>
        <item x="4"/>
        <item h="1" x="2"/>
        <item h="1" x="5"/>
        <item h="1" x="0"/>
        <item h="1" x="6"/>
        <item t="default"/>
      </items>
    </pivotField>
    <pivotField numFmtId="9" showAll="0"/>
    <pivotField numFmtId="3" showAll="0"/>
    <pivotField numFmtId="3" showAll="0"/>
    <pivotField numFmtId="9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Utilidad" fld="6" baseField="0" baseItem="0" numFmtId="3"/>
  </dataFields>
  <formats count="56">
    <format dxfId="2288">
      <pivotArea outline="0" collapsedLevelsAreSubtotals="1" fieldPosition="0"/>
    </format>
    <format dxfId="2287">
      <pivotArea type="all" dataOnly="0" outline="0" fieldPosition="0"/>
    </format>
    <format dxfId="2286">
      <pivotArea field="1" type="button" dataOnly="0" labelOnly="1" outline="0" axis="axisRow" fieldPosition="0"/>
    </format>
    <format dxfId="2285">
      <pivotArea dataOnly="0" labelOnly="1" fieldPosition="0">
        <references count="1">
          <reference field="1" count="0"/>
        </references>
      </pivotArea>
    </format>
    <format dxfId="2284">
      <pivotArea dataOnly="0" labelOnly="1" grandRow="1" outline="0" fieldPosition="0"/>
    </format>
    <format dxfId="2283">
      <pivotArea dataOnly="0" labelOnly="1" outline="0" axis="axisValues" fieldPosition="0"/>
    </format>
    <format dxfId="2282">
      <pivotArea type="all" dataOnly="0" outline="0" fieldPosition="0"/>
    </format>
    <format dxfId="2281">
      <pivotArea outline="0" collapsedLevelsAreSubtotals="1" fieldPosition="0"/>
    </format>
    <format dxfId="2280">
      <pivotArea field="1" type="button" dataOnly="0" labelOnly="1" outline="0" axis="axisRow" fieldPosition="0"/>
    </format>
    <format dxfId="2279">
      <pivotArea dataOnly="0" labelOnly="1" fieldPosition="0">
        <references count="1">
          <reference field="1" count="0"/>
        </references>
      </pivotArea>
    </format>
    <format dxfId="2278">
      <pivotArea dataOnly="0" labelOnly="1" grandRow="1" outline="0" fieldPosition="0"/>
    </format>
    <format dxfId="2277">
      <pivotArea dataOnly="0" labelOnly="1" outline="0" axis="axisValues" fieldPosition="0"/>
    </format>
    <format dxfId="2276">
      <pivotArea field="1" type="button" dataOnly="0" labelOnly="1" outline="0" axis="axisRow" fieldPosition="0"/>
    </format>
    <format dxfId="2275">
      <pivotArea dataOnly="0" labelOnly="1" outline="0" axis="axisValues" fieldPosition="0"/>
    </format>
    <format dxfId="2274">
      <pivotArea grandRow="1" outline="0" collapsedLevelsAreSubtotals="1" fieldPosition="0"/>
    </format>
    <format dxfId="2273">
      <pivotArea dataOnly="0" labelOnly="1" grandRow="1" outline="0" fieldPosition="0"/>
    </format>
    <format dxfId="2272">
      <pivotArea field="1" type="button" dataOnly="0" labelOnly="1" outline="0" axis="axisRow" fieldPosition="0"/>
    </format>
    <format dxfId="2271">
      <pivotArea dataOnly="0" labelOnly="1" outline="0" axis="axisValues" fieldPosition="0"/>
    </format>
    <format dxfId="2270">
      <pivotArea grandRow="1" outline="0" collapsedLevelsAreSubtotals="1" fieldPosition="0"/>
    </format>
    <format dxfId="2269">
      <pivotArea dataOnly="0" labelOnly="1" grandRow="1" outline="0" fieldPosition="0"/>
    </format>
    <format dxfId="2268">
      <pivotArea grandRow="1" outline="0" collapsedLevelsAreSubtotals="1" fieldPosition="0"/>
    </format>
    <format dxfId="2267">
      <pivotArea dataOnly="0" labelOnly="1" grandRow="1" outline="0" fieldPosition="0"/>
    </format>
    <format dxfId="2266">
      <pivotArea type="all" dataOnly="0" outline="0" fieldPosition="0"/>
    </format>
    <format dxfId="2265">
      <pivotArea outline="0" collapsedLevelsAreSubtotals="1" fieldPosition="0"/>
    </format>
    <format dxfId="2264">
      <pivotArea field="1" type="button" dataOnly="0" labelOnly="1" outline="0" axis="axisRow" fieldPosition="0"/>
    </format>
    <format dxfId="2263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  <format dxfId="2262">
      <pivotArea dataOnly="0" labelOnly="1" grandRow="1" outline="0" fieldPosition="0"/>
    </format>
    <format dxfId="2261">
      <pivotArea dataOnly="0" labelOnly="1" outline="0" axis="axisValues" fieldPosition="0"/>
    </format>
    <format dxfId="2193">
      <pivotArea type="all" dataOnly="0" outline="0" fieldPosition="0"/>
    </format>
    <format dxfId="2192">
      <pivotArea outline="0" collapsedLevelsAreSubtotals="1" fieldPosition="0"/>
    </format>
    <format dxfId="2191">
      <pivotArea field="1" type="button" dataOnly="0" labelOnly="1" outline="0" axis="axisRow" fieldPosition="0"/>
    </format>
    <format dxfId="2190">
      <pivotArea dataOnly="0" labelOnly="1" fieldPosition="0">
        <references count="1">
          <reference field="1" count="3">
            <x v="4"/>
            <x v="5"/>
            <x v="6"/>
          </reference>
        </references>
      </pivotArea>
    </format>
    <format dxfId="2189">
      <pivotArea dataOnly="0" labelOnly="1" grandRow="1" outline="0" fieldPosition="0"/>
    </format>
    <format dxfId="2188">
      <pivotArea dataOnly="0" labelOnly="1" outline="0" axis="axisValues" fieldPosition="0"/>
    </format>
    <format dxfId="2186">
      <pivotArea type="all" dataOnly="0" outline="0" fieldPosition="0"/>
    </format>
    <format dxfId="2185">
      <pivotArea outline="0" collapsedLevelsAreSubtotals="1" fieldPosition="0"/>
    </format>
    <format dxfId="2184">
      <pivotArea dataOnly="0" labelOnly="1" fieldPosition="0">
        <references count="1">
          <reference field="1" count="3">
            <x v="4"/>
            <x v="5"/>
            <x v="6"/>
          </reference>
        </references>
      </pivotArea>
    </format>
    <format dxfId="2183">
      <pivotArea dataOnly="0" labelOnly="1" grandRow="1" outline="0" fieldPosition="0"/>
    </format>
    <format dxfId="2181">
      <pivotArea field="1" type="button" dataOnly="0" labelOnly="1" outline="0" axis="axisRow" fieldPosition="0"/>
    </format>
    <format dxfId="2178">
      <pivotArea dataOnly="0" labelOnly="1" outline="0" axis="axisValues" fieldPosition="0"/>
    </format>
    <format dxfId="2176">
      <pivotArea field="1" type="button" dataOnly="0" labelOnly="1" outline="0" axis="axisRow" fieldPosition="0"/>
    </format>
    <format dxfId="2175">
      <pivotArea dataOnly="0" labelOnly="1" outline="0" axis="axisValues" fieldPosition="0"/>
    </format>
    <format dxfId="2173">
      <pivotArea field="1" type="button" dataOnly="0" labelOnly="1" outline="0" axis="axisRow" fieldPosition="0"/>
    </format>
    <format dxfId="2172">
      <pivotArea dataOnly="0" labelOnly="1" outline="0" axis="axisValues" fieldPosition="0"/>
    </format>
    <format dxfId="2168">
      <pivotArea collapsedLevelsAreSubtotals="1" fieldPosition="0">
        <references count="1">
          <reference field="1" count="3">
            <x v="4"/>
            <x v="5"/>
            <x v="6"/>
          </reference>
        </references>
      </pivotArea>
    </format>
    <format dxfId="2166">
      <pivotArea collapsedLevelsAreSubtotals="1" fieldPosition="0">
        <references count="1">
          <reference field="1" count="3">
            <x v="4"/>
            <x v="5"/>
            <x v="6"/>
          </reference>
        </references>
      </pivotArea>
    </format>
    <format dxfId="2165">
      <pivotArea grandRow="1" outline="0" collapsedLevelsAreSubtotals="1" fieldPosition="0"/>
    </format>
    <format dxfId="2164">
      <pivotArea dataOnly="0" labelOnly="1" grandRow="1" outline="0" fieldPosition="0"/>
    </format>
    <format dxfId="2163">
      <pivotArea grandRow="1" outline="0" collapsedLevelsAreSubtotals="1" fieldPosition="0"/>
    </format>
    <format dxfId="2162">
      <pivotArea dataOnly="0" labelOnly="1" grandRow="1" outline="0" fieldPosition="0"/>
    </format>
    <format dxfId="2161">
      <pivotArea type="all" dataOnly="0" outline="0" fieldPosition="0"/>
    </format>
    <format dxfId="2160">
      <pivotArea outline="0" collapsedLevelsAreSubtotals="1" fieldPosition="0"/>
    </format>
    <format dxfId="2159">
      <pivotArea field="1" type="button" dataOnly="0" labelOnly="1" outline="0" axis="axisRow" fieldPosition="0"/>
    </format>
    <format dxfId="2156">
      <pivotArea dataOnly="0" labelOnly="1" fieldPosition="0">
        <references count="1">
          <reference field="1" count="3">
            <x v="4"/>
            <x v="5"/>
            <x v="6"/>
          </reference>
        </references>
      </pivotArea>
    </format>
    <format dxfId="2154">
      <pivotArea dataOnly="0" labelOnly="1" grandRow="1" outline="0" fieldPosition="0"/>
    </format>
    <format dxfId="215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EEF8B-83D0-469F-9C9E-3F1D6679ADC5}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Categoría">
  <location ref="A21:B23" firstHeaderRow="1" firstDataRow="1" firstDataCol="1"/>
  <pivotFields count="12">
    <pivotField showAll="0"/>
    <pivotField showAll="0"/>
    <pivotField axis="axisRow" showAll="0">
      <items count="7">
        <item x="0"/>
        <item h="1" x="5"/>
        <item h="1" x="1"/>
        <item h="1" x="3"/>
        <item h="1" x="2"/>
        <item h="1" x="4"/>
        <item t="default"/>
      </items>
    </pivotField>
    <pivotField dataField="1" numFmtId="3" showAll="0"/>
    <pivotField numFmtId="3" showAll="0"/>
    <pivotField numFmtId="3" showAll="0"/>
    <pivotField numFmtId="3" showAll="0"/>
    <pivotField numFmtId="9" showAll="0"/>
    <pivotField numFmtId="3" showAll="0"/>
    <pivotField numFmtId="3" showAll="0"/>
    <pivotField numFmtId="9" showAll="0"/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uma de Ventas" fld="3" baseField="0" baseItem="0"/>
  </dataFields>
  <formats count="50">
    <format dxfId="2308">
      <pivotArea type="all" dataOnly="0" outline="0" fieldPosition="0"/>
    </format>
    <format dxfId="2307">
      <pivotArea field="2" type="button" dataOnly="0" labelOnly="1" outline="0" axis="axisRow" fieldPosition="0"/>
    </format>
    <format dxfId="2306">
      <pivotArea dataOnly="0" labelOnly="1" grandRow="1" outline="0" fieldPosition="0"/>
    </format>
    <format dxfId="2305">
      <pivotArea dataOnly="0" labelOnly="1" outline="0" axis="axisValues" fieldPosition="0"/>
    </format>
    <format dxfId="2304">
      <pivotArea field="2" type="button" dataOnly="0" labelOnly="1" outline="0" axis="axisRow" fieldPosition="0"/>
    </format>
    <format dxfId="2303">
      <pivotArea dataOnly="0" labelOnly="1" outline="0" axis="axisValues" fieldPosition="0"/>
    </format>
    <format dxfId="2302">
      <pivotArea field="2" type="button" dataOnly="0" labelOnly="1" outline="0" axis="axisRow" fieldPosition="0"/>
    </format>
    <format dxfId="2301">
      <pivotArea dataOnly="0" labelOnly="1" outline="0" axis="axisValues" fieldPosition="0"/>
    </format>
    <format dxfId="2300">
      <pivotArea grandRow="1" outline="0" collapsedLevelsAreSubtotals="1" fieldPosition="0"/>
    </format>
    <format dxfId="2299">
      <pivotArea dataOnly="0" labelOnly="1" grandRow="1" outline="0" fieldPosition="0"/>
    </format>
    <format dxfId="2298">
      <pivotArea grandRow="1" outline="0" collapsedLevelsAreSubtotals="1" fieldPosition="0"/>
    </format>
    <format dxfId="2297">
      <pivotArea dataOnly="0" labelOnly="1" grandRow="1" outline="0" fieldPosition="0"/>
    </format>
    <format dxfId="2296">
      <pivotArea grandRow="1" outline="0" collapsedLevelsAreSubtotals="1" fieldPosition="0"/>
    </format>
    <format dxfId="2295">
      <pivotArea dataOnly="0" labelOnly="1" grandRow="1" outline="0" fieldPosition="0"/>
    </format>
    <format dxfId="2294">
      <pivotArea type="all" dataOnly="0" outline="0" fieldPosition="0"/>
    </format>
    <format dxfId="2293">
      <pivotArea outline="0" collapsedLevelsAreSubtotals="1" fieldPosition="0"/>
    </format>
    <format dxfId="2292">
      <pivotArea field="2" type="button" dataOnly="0" labelOnly="1" outline="0" axis="axisRow" fieldPosition="0"/>
    </format>
    <format dxfId="2291">
      <pivotArea dataOnly="0" labelOnly="1" fieldPosition="0">
        <references count="1">
          <reference field="2" count="0"/>
        </references>
      </pivotArea>
    </format>
    <format dxfId="2290">
      <pivotArea dataOnly="0" labelOnly="1" grandRow="1" outline="0" fieldPosition="0"/>
    </format>
    <format dxfId="2289">
      <pivotArea dataOnly="0" labelOnly="1" outline="0" axis="axisValues" fieldPosition="0"/>
    </format>
    <format dxfId="1611">
      <pivotArea type="all" dataOnly="0" outline="0" fieldPosition="0"/>
    </format>
    <format dxfId="1604">
      <pivotArea outline="0" collapsedLevelsAreSubtotals="1" fieldPosition="0"/>
    </format>
    <format dxfId="1603">
      <pivotArea field="2" type="button" dataOnly="0" labelOnly="1" outline="0" axis="axisRow" fieldPosition="0"/>
    </format>
    <format dxfId="1602">
      <pivotArea dataOnly="0" labelOnly="1" fieldPosition="0">
        <references count="1">
          <reference field="2" count="0"/>
        </references>
      </pivotArea>
    </format>
    <format dxfId="1601">
      <pivotArea dataOnly="0" labelOnly="1" grandRow="1" outline="0" fieldPosition="0"/>
    </format>
    <format dxfId="1600">
      <pivotArea dataOnly="0" labelOnly="1" outline="0" axis="axisValues" fieldPosition="0"/>
    </format>
    <format dxfId="1598">
      <pivotArea field="2" type="button" dataOnly="0" labelOnly="1" outline="0" axis="axisRow" fieldPosition="0"/>
    </format>
    <format dxfId="1597">
      <pivotArea dataOnly="0" labelOnly="1" outline="0" axis="axisValues" fieldPosition="0"/>
    </format>
    <format dxfId="1595">
      <pivotArea field="2" type="button" dataOnly="0" labelOnly="1" outline="0" axis="axisRow" fieldPosition="0"/>
    </format>
    <format dxfId="1594">
      <pivotArea dataOnly="0" labelOnly="1" outline="0" axis="axisValues" fieldPosition="0"/>
    </format>
    <format dxfId="1592">
      <pivotArea grandRow="1" outline="0" collapsedLevelsAreSubtotals="1" fieldPosition="0"/>
    </format>
    <format dxfId="1591">
      <pivotArea dataOnly="0" labelOnly="1" grandRow="1" outline="0" fieldPosition="0"/>
    </format>
    <format dxfId="974">
      <pivotArea field="2" type="button" dataOnly="0" labelOnly="1" outline="0" axis="axisRow" fieldPosition="0"/>
    </format>
    <format dxfId="973">
      <pivotArea dataOnly="0" labelOnly="1" outline="0" axis="axisValues" fieldPosition="0"/>
    </format>
    <format dxfId="971">
      <pivotArea field="2" type="button" dataOnly="0" labelOnly="1" outline="0" axis="axisRow" fieldPosition="0"/>
    </format>
    <format dxfId="970">
      <pivotArea dataOnly="0" labelOnly="1" outline="0" axis="axisValues" fieldPosition="0"/>
    </format>
    <format dxfId="968">
      <pivotArea field="2" type="button" dataOnly="0" labelOnly="1" outline="0" axis="axisRow" fieldPosition="0"/>
    </format>
    <format dxfId="967">
      <pivotArea dataOnly="0" labelOnly="1" outline="0" axis="axisValues" fieldPosition="0"/>
    </format>
    <format dxfId="965">
      <pivotArea collapsedLevelsAreSubtotals="1" fieldPosition="0">
        <references count="1">
          <reference field="2" count="0"/>
        </references>
      </pivotArea>
    </format>
    <format dxfId="964">
      <pivotArea dataOnly="0" labelOnly="1" fieldPosition="0">
        <references count="1">
          <reference field="2" count="0"/>
        </references>
      </pivotArea>
    </format>
    <format dxfId="963">
      <pivotArea collapsedLevelsAreSubtotals="1" fieldPosition="0">
        <references count="1">
          <reference field="2" count="0"/>
        </references>
      </pivotArea>
    </format>
    <format dxfId="962">
      <pivotArea dataOnly="0" labelOnly="1" fieldPosition="0">
        <references count="1">
          <reference field="2" count="0"/>
        </references>
      </pivotArea>
    </format>
    <format dxfId="961">
      <pivotArea grandRow="1" outline="0" collapsedLevelsAreSubtotals="1" fieldPosition="0"/>
    </format>
    <format dxfId="960">
      <pivotArea dataOnly="0" labelOnly="1" grandRow="1" outline="0" fieldPosition="0"/>
    </format>
    <format dxfId="959">
      <pivotArea grandRow="1" outline="0" collapsedLevelsAreSubtotals="1" fieldPosition="0"/>
    </format>
    <format dxfId="958">
      <pivotArea dataOnly="0" labelOnly="1" grandRow="1" outline="0" fieldPosition="0"/>
    </format>
    <format dxfId="957">
      <pivotArea grandRow="1" outline="0" collapsedLevelsAreSubtotals="1" fieldPosition="0"/>
    </format>
    <format dxfId="956">
      <pivotArea dataOnly="0" labelOnly="1" grandRow="1" outline="0" fieldPosition="0"/>
    </format>
    <format dxfId="955">
      <pivotArea collapsedLevelsAreSubtotals="1" fieldPosition="0">
        <references count="1">
          <reference field="2" count="0"/>
        </references>
      </pivotArea>
    </format>
    <format dxfId="954">
      <pivotArea dataOnly="0" labelOnly="1" fieldPosition="0">
        <references count="1">
          <reference field="2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3C76FC50-653F-4D2A-9C3B-B8B13E2D73E0}" sourceName="Categoría">
  <pivotTables>
    <pivotTable tabId="15" name="TablaDinámica1"/>
    <pivotTable tabId="15" name="TablaDinámica2"/>
  </pivotTables>
  <data>
    <tabular pivotCacheId="1875238799">
      <items count="6">
        <i x="0" s="1"/>
        <i x="5"/>
        <i x="1"/>
        <i x="3"/>
        <i x="2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ía" xr10:uid="{68675E0B-2E42-4C51-9731-D7B5B78CFAFA}" cache="SegmentaciónDeDatos_Categoría" caption="Categoría" style="SlicerStyleOther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01321-ED48-471A-A7A0-CFFD8651BA75}" name="Tabla1" displayName="Tabla1" ref="A1:E6" totalsRowShown="0" headerRowDxfId="2258">
  <autoFilter ref="A1:E6" xr:uid="{956F2BB2-E376-487B-841D-A65632244A26}"/>
  <tableColumns count="5">
    <tableColumn id="1" xr3:uid="{EDD52FD3-7662-45FB-936D-5BC1FD1619E8}" name="ID" dataDxfId="2260"/>
    <tableColumn id="2" xr3:uid="{6123DD7C-5E00-4476-B2FE-6135823D9A2B}" name="Nombre" dataDxfId="2220"/>
    <tableColumn id="3" xr3:uid="{6C144CA0-E683-4C43-A967-95108055BA47}" name="RUT" dataDxfId="2218"/>
    <tableColumn id="4" xr3:uid="{595EAAA1-AE98-458E-B3D8-EFA358E30D5F}" name="Condición pago" dataDxfId="2219"/>
    <tableColumn id="5" xr3:uid="{8CF7B394-C914-4F1A-83F7-39B752FE4E85}" name="Contacto" dataDxfId="225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B52E67-D71D-40FD-A631-1F8F5C5BF7AC}" name="Tabla3" displayName="Tabla3" ref="A1:G17" totalsRowShown="0" headerRowDxfId="2249" dataDxfId="2250">
  <autoFilter ref="A1:G17" xr:uid="{139E0551-A714-4067-AB2A-B57A25C99608}"/>
  <tableColumns count="7">
    <tableColumn id="1" xr3:uid="{C6777FCE-F4A7-41B4-A19F-6528CD81C7CB}" name="SKU" dataDxfId="2257"/>
    <tableColumn id="2" xr3:uid="{F420A3A1-CCE4-4FB7-8423-1A4CFEC732BC}" name="Nombre" dataDxfId="2256"/>
    <tableColumn id="3" xr3:uid="{EE1DBFFB-2DB9-45F5-BA20-35FA3C8B19FA}" name="Categoría" dataDxfId="2255"/>
    <tableColumn id="4" xr3:uid="{87594DFD-2B7A-488F-8D3D-5A804E796343}" name="Talla" dataDxfId="2254"/>
    <tableColumn id="5" xr3:uid="{484EE222-E03B-4178-82A8-75CBF9F6F0AA}" name="Color" dataDxfId="2253"/>
    <tableColumn id="6" xr3:uid="{08883CE7-9D64-4B1B-B3C0-A1E8DEFC47DE}" name="Costo Neto" dataDxfId="2252" dataCellStyle="Moneda [0]"/>
    <tableColumn id="7" xr3:uid="{A159FFD5-A9C4-4447-983B-100594610D07}" name="Precio NETO (venta)" dataDxfId="2251" dataCellStyle="Moneda [0]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18A9E6-F697-40C7-A575-B93F21F036C3}" name="Tabla4" displayName="Tabla4" ref="A1:G17" totalsRowShown="0" headerRowDxfId="2240" dataDxfId="2241">
  <autoFilter ref="A1:G17" xr:uid="{7E9D6A35-1699-455B-A4BC-71301BE89277}"/>
  <tableColumns count="7">
    <tableColumn id="1" xr3:uid="{10431189-41AE-41DB-802A-BAA1B8074EAC}" name="SKU" dataDxfId="2248"/>
    <tableColumn id="2" xr3:uid="{9B9EB266-4FAC-420C-9402-D50F59E01EDB}" name="Nombre" dataDxfId="2247"/>
    <tableColumn id="3" xr3:uid="{BD4E831F-0B28-44D4-9AC0-CC729AA91188}" name="Entradas" dataDxfId="2246"/>
    <tableColumn id="4" xr3:uid="{7B7316A7-3405-44CE-8D13-FA06ED450E26}" name="Salidas" dataDxfId="2245">
      <calculatedColumnFormula>SUMIF(Ventas!E:E,'Inventario '!A2,Ventas!F:F)</calculatedColumnFormula>
    </tableColumn>
    <tableColumn id="5" xr3:uid="{D3DA14B8-E8C6-4515-A221-5B687DB4CD41}" name="Stock" dataDxfId="2244">
      <calculatedColumnFormula>C2-D2</calculatedColumnFormula>
    </tableColumn>
    <tableColumn id="6" xr3:uid="{6603DF65-51E5-49AF-BA94-E2573736C27E}" name="Costo unitario " dataDxfId="2243" dataCellStyle="Moneda [0]">
      <calculatedColumnFormula>VLOOKUP(A2,'Ficha de Productos'!A1:G17,6,FALSE)</calculatedColumnFormula>
    </tableColumn>
    <tableColumn id="7" xr3:uid="{F8B0DA93-1BA7-443E-A18B-2BA3FFDB4376}" name="Valor (inventario)" dataDxfId="2242" dataCellStyle="Moneda [0]">
      <calculatedColumnFormula>E2*F2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211C7F-8AE8-4249-A636-4C52CE1D417F}" name="Tabla5" displayName="Tabla5" ref="A1:F6" totalsRowShown="0" headerRowDxfId="2233">
  <autoFilter ref="A1:F6" xr:uid="{E2A52976-F48E-423D-8961-0591347537D5}"/>
  <tableColumns count="6">
    <tableColumn id="1" xr3:uid="{D9FB8D90-A1C7-407C-8B57-CB3954CD719B}" name="ID_Cliente" dataDxfId="2239"/>
    <tableColumn id="2" xr3:uid="{995E2AFC-D51C-4CA6-AFA2-001E906DA49D}" name="Nombre" dataDxfId="2238"/>
    <tableColumn id="3" xr3:uid="{C2629A1A-E1DB-4BA9-9637-D3C39AACA7CE}" name="Rut" dataDxfId="2237"/>
    <tableColumn id="4" xr3:uid="{266ABC13-12C3-459A-A740-1F4FB08B6F6B}" name="Comuna" dataDxfId="2236"/>
    <tableColumn id="5" xr3:uid="{98F65F16-F16F-4168-8E3E-EF1EDCF24B01}" name="Email" dataDxfId="2235" dataCellStyle="Hipervínculo"/>
    <tableColumn id="6" xr3:uid="{113E9365-BD34-4AC6-99A8-8CDB57C33A50}" name="Fecha de Compra" dataDxfId="223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EFE418-44A0-4215-B7C5-FDD6013A09FE}" name="Tabla6" displayName="Tabla6" ref="A1:J11" totalsRowShown="0" headerRowDxfId="2221" dataDxfId="2222">
  <autoFilter ref="A1:J11" xr:uid="{685C65A7-FBB6-499D-9096-17B560A69BC9}"/>
  <tableColumns count="10">
    <tableColumn id="1" xr3:uid="{1578A545-6B28-414A-9FEA-3AC622F4EEA6}" name="ID VENTA" dataDxfId="2232"/>
    <tableColumn id="2" xr3:uid="{13FF9630-E0AC-401D-9A09-AF7601070369}" name="Fecha" dataDxfId="2231"/>
    <tableColumn id="3" xr3:uid="{31946D7F-423B-4328-9B83-FD57DCCC69E7}" name="ID Cliente" dataDxfId="2230"/>
    <tableColumn id="4" xr3:uid="{F1E48D51-0240-4A29-A926-46AFFF233F29}" name="Producto" dataDxfId="2229"/>
    <tableColumn id="5" xr3:uid="{A47C5402-2209-47D0-AFD1-1959A5B4713D}" name="SKU" dataDxfId="2228"/>
    <tableColumn id="6" xr3:uid="{A648CBBB-75D5-4C95-B714-47D6C272DEDC}" name="Cantidad" dataDxfId="2227"/>
    <tableColumn id="7" xr3:uid="{50AC604A-3B49-4F86-9EF3-8B4431F4E351}" name="Precio Unitario" dataDxfId="2226" dataCellStyle="Moneda [0]"/>
    <tableColumn id="8" xr3:uid="{1C7FAC10-6257-4E0C-8469-7C2EAEED6A0F}" name="Neto" dataDxfId="2225" dataCellStyle="Moneda [0]">
      <calculatedColumnFormula>G2*F2</calculatedColumnFormula>
    </tableColumn>
    <tableColumn id="9" xr3:uid="{101F124F-4A7C-47C9-92A3-A5BDDE07E0CF}" name="IVA DF" dataDxfId="2224" dataCellStyle="Moneda [0]">
      <calculatedColumnFormula>H2*19%</calculatedColumnFormula>
    </tableColumn>
    <tableColumn id="10" xr3:uid="{1B8AA48B-8061-45CF-920E-881DE8A7F16F}" name="Total" dataDxfId="2223" dataCellStyle="Moneda [0]">
      <calculatedColumnFormula>SUM(H2,I2)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BE7629-5343-42B2-AB2F-E8A4179EB4CF}" name="Tabla7" displayName="Tabla7" ref="A1:E11" totalsRowShown="0" headerRowDxfId="2217">
  <autoFilter ref="A1:E11" xr:uid="{71EAB1CF-0ED2-44A4-A5A0-49467F43AED8}"/>
  <tableColumns count="5">
    <tableColumn id="1" xr3:uid="{EFF86643-C679-433C-A94F-71F80BCFD6D4}" name="SKU" dataDxfId="2216"/>
    <tableColumn id="2" xr3:uid="{0130F74C-ED85-44ED-A3A5-618DE54F0E71}" name="Producto" dataDxfId="2215"/>
    <tableColumn id="3" xr3:uid="{EFCAA459-42C4-4EB9-AE80-20BCBAEDDF0A}" name="Cantidad Vendida" dataDxfId="2214"/>
    <tableColumn id="4" xr3:uid="{9510CCDD-684F-4540-B5B6-D808C22AE04F}" name="Costo Unitario" dataDxfId="2213" dataCellStyle="Moneda [0]"/>
    <tableColumn id="5" xr3:uid="{F2906787-A14D-4063-A1B4-6D0091F1D634}" name="Costo Total " dataDxfId="2212" dataCellStyle="Moneda [0]">
      <calculatedColumnFormula>D2*C2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C19215A-34CE-4D2E-81DA-3992DFF51ECC}" name="Tabla8" displayName="Tabla8" ref="A1:J4" totalsRowShown="0" headerRowDxfId="2202" dataDxfId="2203">
  <autoFilter ref="A1:J4" xr:uid="{C01A795A-392A-406E-BC2A-C17DF63E8894}"/>
  <tableColumns count="10">
    <tableColumn id="1" xr3:uid="{24C222B8-210D-4B3A-937A-3AE6FB37D6E1}" name="Fecha" dataDxfId="2211"/>
    <tableColumn id="2" xr3:uid="{1D7CDB4C-C7CA-4C37-8578-A776C848AD19}" name="Categoría" dataDxfId="2210"/>
    <tableColumn id="3" xr3:uid="{24B873A1-17EF-494D-AB0E-2B0F89C0DD3E}" name="Subcategoría" dataDxfId="2209"/>
    <tableColumn id="4" xr3:uid="{7B7C5317-6AFE-4904-89FE-C0BFB64E5CF3}" name="Descripción" dataDxfId="2208"/>
    <tableColumn id="5" xr3:uid="{7E8D5137-0A67-4FFF-8577-AA91F494DD25}" name="NETO" dataDxfId="2207" dataCellStyle="Moneda [0]">
      <calculatedColumnFormula>G2-F2</calculatedColumnFormula>
    </tableColumn>
    <tableColumn id="6" xr3:uid="{A805AC3E-FCE6-4774-9327-D75FF662481B}" name="IVA Crédito" dataDxfId="2206" dataCellStyle="Moneda [0]">
      <calculatedColumnFormula>G2*19%</calculatedColumnFormula>
    </tableColumn>
    <tableColumn id="7" xr3:uid="{FA447653-0953-4159-8E4A-9FA5CD56554F}" name="TOTAL " dataDxfId="2205" dataCellStyle="Moneda [0]"/>
    <tableColumn id="8" xr3:uid="{D1D7BB36-B7C5-4038-AAE5-64AE28EB6B3F}" name="Medio de Pago" dataDxfId="2204" dataCellStyle="Moneda [0]"/>
    <tableColumn id="9" xr3:uid="{AD3261D1-71A8-40AB-A880-0F3E11CBDA7D}" name="Tipo Documento" dataDxfId="2201" dataCellStyle="Moneda [0]"/>
    <tableColumn id="10" xr3:uid="{900DEE40-0709-4399-8836-E1A977D409C4}" name="N°Doc" dataDxfId="2200" dataCellStyle="Moneda [0]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25DB56-C5CC-4FB7-B2B0-6D36521CEE0B}" name="Tabla2" displayName="Tabla2" ref="A1:L17" totalsRowShown="0" headerRowDxfId="2321">
  <autoFilter ref="A1:L17" xr:uid="{093D5ADB-DA4E-43D5-B292-D205D3A8062C}"/>
  <tableColumns count="12">
    <tableColumn id="1" xr3:uid="{461BB292-2A73-402A-A845-F319E3C918C3}" name="SKU" dataDxfId="2320"/>
    <tableColumn id="2" xr3:uid="{8FD9FC61-2D7B-4849-8D90-AD6F5713A6E8}" name="Producto" dataDxfId="2319"/>
    <tableColumn id="3" xr3:uid="{51EDEEE6-BBBF-49DC-BCFD-21B22029D588}" name="Categoría" dataDxfId="2318"/>
    <tableColumn id="4" xr3:uid="{F723427E-C909-461A-9510-A67BE181BB83}" name="Ventas" dataDxfId="2317">
      <calculatedColumnFormula>IFERROR(SUMIF(Ventas!E:E,'Analisis de productos'!A2,Ventas!F:F),0)</calculatedColumnFormula>
    </tableColumn>
    <tableColumn id="5" xr3:uid="{93D3C9FE-1A4B-4432-BA83-623DB804DB2A}" name="Ingresos (neto)" dataDxfId="2316">
      <calculatedColumnFormula>D2*(VLOOKUP(A2,'Ficha de Productos'!A:G,7,FALSE))</calculatedColumnFormula>
    </tableColumn>
    <tableColumn id="6" xr3:uid="{8844B575-4FF6-4DDB-AD2C-84873D96E507}" name="Costo total" dataDxfId="2315">
      <calculatedColumnFormula>IFERROR(D2*VLOOKUP(A2,'Ficha de Productos'!A:G,6,FALSE),0)</calculatedColumnFormula>
    </tableColumn>
    <tableColumn id="7" xr3:uid="{48BE9178-252F-4E44-B757-5B860405ECBE}" name="Utilidad" dataDxfId="2314">
      <calculatedColumnFormula>E2-F2</calculatedColumnFormula>
    </tableColumn>
    <tableColumn id="8" xr3:uid="{EEF0D6B1-E13B-4F38-908A-C8EA1E12EB20}" name="Margen" dataDxfId="2313" dataCellStyle="Porcentaje">
      <calculatedColumnFormula>IFERROR(G2/E2,0)</calculatedColumnFormula>
    </tableColumn>
    <tableColumn id="9" xr3:uid="{A04FB12F-3FF3-43DB-A159-C3DD43C153DF}" name="IVA DF" dataDxfId="2312" dataCellStyle="Porcentaje">
      <calculatedColumnFormula>IFERROR(E2*19%,0)</calculatedColumnFormula>
    </tableColumn>
    <tableColumn id="10" xr3:uid="{35E1026A-EA6D-406E-B007-371191FFEA8E}" name="Total Ventas" dataDxfId="2311">
      <calculatedColumnFormula>IFERROR(E2+I2,0)</calculatedColumnFormula>
    </tableColumn>
    <tableColumn id="11" xr3:uid="{F9468588-AC0C-4A65-9FC5-581C125B3AA9}" name="Rotación" dataDxfId="2310" dataCellStyle="Porcentaje">
      <calculatedColumnFormula>IFERROR(D2/VLOOKUP(A2,'Inventario '!A:E,5,FALSE),0)</calculatedColumnFormula>
    </tableColumn>
    <tableColumn id="12" xr3:uid="{07D8C603-6095-4828-ABC6-FCFA991AF1F6}" name="ESTADO" dataDxfId="2309">
      <calculatedColumnFormula>IF(D2=0,"Sin Ventas",IF(AND(H2&gt;0.5,D2&gt;=2),"Estrella",IF(D2=1,"Baja Rotación",IF(H2&lt;0.4,"Bajo Margen","Normal"))))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E57BAD-A7E7-426A-8D66-DB38C484F03E}" name="Tabla10" displayName="Tabla10" ref="A1:B14" headerRowDxfId="2198">
  <autoFilter ref="A1:B14" xr:uid="{DA570A3C-503B-45C9-8AE7-72C29DAC566F}"/>
  <tableColumns count="2">
    <tableColumn id="1" xr3:uid="{F22F1A41-8167-41F4-8BD9-981BB815C910}" name="Estado de Resultados - Análisis Financiero del Sistema de Gestión " totalsRowLabel="Total"/>
    <tableColumn id="2" xr3:uid="{F38CDA64-5C61-42DC-A3B5-D68027C41692}" name="Columna1" totalsRowFunction="count" dataDxfId="2199" totalsRowDxfId="2197" dataCellStyle="Moneda [0]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DA8ED5D-799A-4A6C-ACC7-7343C3DB1461}" name="Tabla11" displayName="Tabla11" ref="A1:B7" totalsRowShown="0" headerRowDxfId="2194">
  <autoFilter ref="A1:B7" xr:uid="{DBB30710-E327-4DA5-9175-22192CC4659B}"/>
  <tableColumns count="2">
    <tableColumn id="1" xr3:uid="{5E1BCC55-541B-40ED-ABAA-5F22669D0196}" name="&quot;Determinación de IVA&quot; " dataDxfId="2196"/>
    <tableColumn id="2" xr3:uid="{30CB5031-4ABA-4E83-B459-5ADB50431FC9}" name="Columna1" dataDxfId="2195" dataCellStyle="Moneda [0]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egacy@gmail" TargetMode="External"/><Relationship Id="rId2" Type="http://schemas.openxmlformats.org/officeDocument/2006/relationships/hyperlink" Target="mailto:Legacy@gmail" TargetMode="External"/><Relationship Id="rId1" Type="http://schemas.openxmlformats.org/officeDocument/2006/relationships/hyperlink" Target="mailto:Legacy@gmai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egacy@gmail" TargetMode="External"/><Relationship Id="rId4" Type="http://schemas.openxmlformats.org/officeDocument/2006/relationships/hyperlink" Target="mailto:Legacy@gmai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na.rojas@mail.cl" TargetMode="External"/><Relationship Id="rId2" Type="http://schemas.openxmlformats.org/officeDocument/2006/relationships/hyperlink" Target="mailto:juan.soto@mail.cl" TargetMode="External"/><Relationship Id="rId1" Type="http://schemas.openxmlformats.org/officeDocument/2006/relationships/hyperlink" Target="mailto:maria.perez@mail.cl" TargetMode="External"/><Relationship Id="rId6" Type="http://schemas.openxmlformats.org/officeDocument/2006/relationships/table" Target="../tables/table4.xml"/><Relationship Id="rId5" Type="http://schemas.openxmlformats.org/officeDocument/2006/relationships/hyperlink" Target="mailto:sofia.leon@mail.cl" TargetMode="External"/><Relationship Id="rId4" Type="http://schemas.openxmlformats.org/officeDocument/2006/relationships/hyperlink" Target="mailto:pedro.diaz@mail.c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08CAB-74B5-4282-ACAE-9BB822AAC912}">
  <sheetPr>
    <tabColor theme="1"/>
  </sheetPr>
  <dimension ref="A1:E6"/>
  <sheetViews>
    <sheetView tabSelected="1" zoomScaleNormal="100" workbookViewId="0">
      <selection activeCell="C23" sqref="C23"/>
    </sheetView>
  </sheetViews>
  <sheetFormatPr baseColWidth="10" defaultRowHeight="14.25" x14ac:dyDescent="0.25"/>
  <cols>
    <col min="1" max="1" width="16" style="31" customWidth="1"/>
    <col min="2" max="2" width="35.85546875" style="31" customWidth="1"/>
    <col min="3" max="3" width="22.28515625" style="31" customWidth="1"/>
    <col min="4" max="4" width="23.140625" style="31" customWidth="1"/>
    <col min="5" max="5" width="27.28515625" style="31" customWidth="1"/>
    <col min="6" max="16384" width="11.42578125" style="31"/>
  </cols>
  <sheetData>
    <row r="1" spans="1:5" ht="19.5" customHeight="1" x14ac:dyDescent="0.25">
      <c r="A1" s="6" t="s">
        <v>116</v>
      </c>
      <c r="B1" s="6" t="s">
        <v>1</v>
      </c>
      <c r="C1" s="6" t="s">
        <v>117</v>
      </c>
      <c r="D1" s="6" t="s">
        <v>118</v>
      </c>
      <c r="E1" s="6" t="s">
        <v>119</v>
      </c>
    </row>
    <row r="2" spans="1:5" ht="24" customHeight="1" x14ac:dyDescent="0.25">
      <c r="A2" s="57" t="s">
        <v>120</v>
      </c>
      <c r="B2" s="8" t="s">
        <v>69</v>
      </c>
      <c r="C2" s="55" t="s">
        <v>70</v>
      </c>
      <c r="D2" s="7" t="s">
        <v>125</v>
      </c>
      <c r="E2" s="8" t="s">
        <v>72</v>
      </c>
    </row>
    <row r="3" spans="1:5" ht="23.25" customHeight="1" x14ac:dyDescent="0.25">
      <c r="A3" s="57" t="s">
        <v>121</v>
      </c>
      <c r="B3" s="8" t="s">
        <v>84</v>
      </c>
      <c r="C3" s="55" t="s">
        <v>262</v>
      </c>
      <c r="D3" s="7" t="s">
        <v>125</v>
      </c>
      <c r="E3" s="8" t="s">
        <v>87</v>
      </c>
    </row>
    <row r="4" spans="1:5" ht="24" customHeight="1" x14ac:dyDescent="0.25">
      <c r="A4" s="57" t="s">
        <v>122</v>
      </c>
      <c r="B4" s="8" t="s">
        <v>92</v>
      </c>
      <c r="C4" s="7" t="s">
        <v>126</v>
      </c>
      <c r="D4" s="7" t="s">
        <v>125</v>
      </c>
      <c r="E4" s="8" t="s">
        <v>94</v>
      </c>
    </row>
    <row r="5" spans="1:5" ht="24.75" customHeight="1" x14ac:dyDescent="0.25">
      <c r="A5" s="57" t="s">
        <v>123</v>
      </c>
      <c r="B5" s="8" t="s">
        <v>102</v>
      </c>
      <c r="C5" s="7" t="s">
        <v>127</v>
      </c>
      <c r="D5" s="7" t="s">
        <v>125</v>
      </c>
      <c r="E5" s="8" t="s">
        <v>103</v>
      </c>
    </row>
    <row r="6" spans="1:5" ht="21.75" customHeight="1" x14ac:dyDescent="0.25">
      <c r="A6" s="57" t="s">
        <v>124</v>
      </c>
      <c r="B6" s="8" t="s">
        <v>109</v>
      </c>
      <c r="C6" s="7" t="s">
        <v>128</v>
      </c>
      <c r="D6" s="7" t="s">
        <v>125</v>
      </c>
      <c r="E6" s="8" t="s">
        <v>111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0306-1E7E-463F-9FAA-58E9D320162E}">
  <sheetPr>
    <tabColor theme="1"/>
  </sheetPr>
  <dimension ref="A1:E69"/>
  <sheetViews>
    <sheetView workbookViewId="0">
      <selection activeCell="D55" sqref="D55"/>
    </sheetView>
  </sheetViews>
  <sheetFormatPr baseColWidth="10" defaultRowHeight="14.25" x14ac:dyDescent="0.25"/>
  <cols>
    <col min="1" max="1" width="30.28515625" style="4" customWidth="1"/>
    <col min="2" max="2" width="28.42578125" style="3" customWidth="1"/>
    <col min="3" max="3" width="11.42578125" style="3"/>
    <col min="4" max="4" width="33.5703125" style="3" customWidth="1"/>
    <col min="5" max="5" width="31.7109375" style="3" customWidth="1"/>
    <col min="6" max="16384" width="11.42578125" style="3"/>
  </cols>
  <sheetData>
    <row r="1" spans="1:5" ht="32.25" customHeight="1" x14ac:dyDescent="0.25">
      <c r="A1" s="98" t="s">
        <v>60</v>
      </c>
      <c r="B1" s="98"/>
      <c r="D1" s="98" t="s">
        <v>91</v>
      </c>
      <c r="E1" s="98"/>
    </row>
    <row r="2" spans="1:5" x14ac:dyDescent="0.25">
      <c r="A2" s="99" t="s">
        <v>66</v>
      </c>
      <c r="B2" s="99"/>
      <c r="D2" s="99" t="s">
        <v>66</v>
      </c>
      <c r="E2" s="99"/>
    </row>
    <row r="3" spans="1:5" x14ac:dyDescent="0.25">
      <c r="A3" s="56" t="s">
        <v>67</v>
      </c>
      <c r="B3" s="8" t="s">
        <v>242</v>
      </c>
      <c r="D3" s="56" t="s">
        <v>67</v>
      </c>
      <c r="E3" s="8" t="s">
        <v>242</v>
      </c>
    </row>
    <row r="4" spans="1:5" x14ac:dyDescent="0.25">
      <c r="A4" s="56" t="s">
        <v>64</v>
      </c>
      <c r="B4" s="8" t="s">
        <v>73</v>
      </c>
      <c r="D4" s="56" t="s">
        <v>64</v>
      </c>
      <c r="E4" s="8" t="s">
        <v>73</v>
      </c>
    </row>
    <row r="5" spans="1:5" x14ac:dyDescent="0.25">
      <c r="A5" s="56" t="s">
        <v>63</v>
      </c>
      <c r="B5" s="8" t="s">
        <v>74</v>
      </c>
      <c r="D5" s="56" t="s">
        <v>63</v>
      </c>
      <c r="E5" s="8" t="s">
        <v>74</v>
      </c>
    </row>
    <row r="6" spans="1:5" ht="15" x14ac:dyDescent="0.25">
      <c r="A6" s="56" t="s">
        <v>86</v>
      </c>
      <c r="B6" s="100" t="s">
        <v>75</v>
      </c>
      <c r="D6" s="56" t="s">
        <v>86</v>
      </c>
      <c r="E6" s="100" t="s">
        <v>75</v>
      </c>
    </row>
    <row r="7" spans="1:5" x14ac:dyDescent="0.25">
      <c r="A7" s="56" t="s">
        <v>202</v>
      </c>
      <c r="B7" s="59">
        <v>46115</v>
      </c>
      <c r="D7" s="56" t="s">
        <v>202</v>
      </c>
      <c r="E7" s="59">
        <v>46115</v>
      </c>
    </row>
    <row r="8" spans="1:5" x14ac:dyDescent="0.25">
      <c r="A8" s="98" t="s">
        <v>65</v>
      </c>
      <c r="B8" s="98"/>
      <c r="D8" s="98" t="s">
        <v>65</v>
      </c>
      <c r="E8" s="98"/>
    </row>
    <row r="9" spans="1:5" x14ac:dyDescent="0.25">
      <c r="A9" s="56" t="s">
        <v>67</v>
      </c>
      <c r="B9" s="8" t="s">
        <v>69</v>
      </c>
      <c r="D9" s="56" t="s">
        <v>67</v>
      </c>
      <c r="E9" s="8" t="s">
        <v>84</v>
      </c>
    </row>
    <row r="10" spans="1:5" x14ac:dyDescent="0.25">
      <c r="A10" s="56" t="s">
        <v>64</v>
      </c>
      <c r="B10" s="8" t="s">
        <v>70</v>
      </c>
      <c r="D10" s="56" t="s">
        <v>64</v>
      </c>
      <c r="E10" s="8" t="s">
        <v>70</v>
      </c>
    </row>
    <row r="11" spans="1:5" x14ac:dyDescent="0.25">
      <c r="A11" s="56" t="s">
        <v>63</v>
      </c>
      <c r="B11" s="8" t="s">
        <v>71</v>
      </c>
      <c r="D11" s="56" t="s">
        <v>63</v>
      </c>
      <c r="E11" s="8" t="s">
        <v>85</v>
      </c>
    </row>
    <row r="12" spans="1:5" x14ac:dyDescent="0.25">
      <c r="A12" s="56" t="s">
        <v>86</v>
      </c>
      <c r="B12" s="8" t="s">
        <v>72</v>
      </c>
      <c r="D12" s="56" t="s">
        <v>86</v>
      </c>
      <c r="E12" s="8" t="s">
        <v>87</v>
      </c>
    </row>
    <row r="13" spans="1:5" x14ac:dyDescent="0.25">
      <c r="A13" s="98" t="s">
        <v>68</v>
      </c>
      <c r="B13" s="98"/>
      <c r="D13" s="98" t="s">
        <v>68</v>
      </c>
      <c r="E13" s="98"/>
    </row>
    <row r="14" spans="1:5" x14ac:dyDescent="0.25">
      <c r="A14" s="56" t="s">
        <v>62</v>
      </c>
      <c r="B14" s="8" t="s">
        <v>76</v>
      </c>
      <c r="D14" s="56" t="s">
        <v>62</v>
      </c>
      <c r="E14" s="8" t="s">
        <v>47</v>
      </c>
    </row>
    <row r="15" spans="1:5" x14ac:dyDescent="0.25">
      <c r="A15" s="56" t="s">
        <v>61</v>
      </c>
      <c r="B15" s="56" t="s">
        <v>100</v>
      </c>
      <c r="D15" s="56" t="s">
        <v>61</v>
      </c>
      <c r="E15" s="56" t="s">
        <v>100</v>
      </c>
    </row>
    <row r="16" spans="1:5" x14ac:dyDescent="0.25">
      <c r="A16" s="8" t="s">
        <v>77</v>
      </c>
      <c r="B16" s="96">
        <f>30000*10</f>
        <v>300000</v>
      </c>
      <c r="D16" s="8" t="s">
        <v>88</v>
      </c>
      <c r="E16" s="96">
        <f>20000*10</f>
        <v>200000</v>
      </c>
    </row>
    <row r="17" spans="1:5" x14ac:dyDescent="0.25">
      <c r="A17" s="8" t="s">
        <v>78</v>
      </c>
      <c r="B17" s="96">
        <f>30000*10</f>
        <v>300000</v>
      </c>
      <c r="D17" s="8" t="s">
        <v>89</v>
      </c>
      <c r="E17" s="96">
        <f t="shared" ref="E17:E18" si="0">20000*10</f>
        <v>200000</v>
      </c>
    </row>
    <row r="18" spans="1:5" x14ac:dyDescent="0.25">
      <c r="A18" s="8" t="s">
        <v>79</v>
      </c>
      <c r="B18" s="96">
        <f>30000*10</f>
        <v>300000</v>
      </c>
      <c r="D18" s="8" t="s">
        <v>90</v>
      </c>
      <c r="E18" s="96">
        <f t="shared" si="0"/>
        <v>200000</v>
      </c>
    </row>
    <row r="19" spans="1:5" x14ac:dyDescent="0.25">
      <c r="A19" s="56" t="s">
        <v>80</v>
      </c>
      <c r="B19" s="101">
        <v>30</v>
      </c>
      <c r="D19" s="56" t="s">
        <v>80</v>
      </c>
      <c r="E19" s="101">
        <v>30</v>
      </c>
    </row>
    <row r="20" spans="1:5" x14ac:dyDescent="0.25">
      <c r="A20" s="56" t="s">
        <v>81</v>
      </c>
      <c r="B20" s="96">
        <f>SUM(B16:B18)</f>
        <v>900000</v>
      </c>
      <c r="D20" s="56" t="s">
        <v>81</v>
      </c>
      <c r="E20" s="96">
        <f>SUM(E16:E18)</f>
        <v>600000</v>
      </c>
    </row>
    <row r="21" spans="1:5" x14ac:dyDescent="0.25">
      <c r="A21" s="56" t="s">
        <v>82</v>
      </c>
      <c r="B21" s="96">
        <f>B20*19%</f>
        <v>171000</v>
      </c>
      <c r="D21" s="56" t="s">
        <v>82</v>
      </c>
      <c r="E21" s="96">
        <f>E20*19%</f>
        <v>114000</v>
      </c>
    </row>
    <row r="22" spans="1:5" x14ac:dyDescent="0.25">
      <c r="A22" s="56" t="s">
        <v>83</v>
      </c>
      <c r="B22" s="96">
        <f>SUM(B20,B21)</f>
        <v>1071000</v>
      </c>
      <c r="D22" s="56" t="s">
        <v>83</v>
      </c>
      <c r="E22" s="96">
        <f>SUM(E20,E21)</f>
        <v>714000</v>
      </c>
    </row>
    <row r="23" spans="1:5" ht="38.25" customHeight="1" x14ac:dyDescent="0.25"/>
    <row r="24" spans="1:5" ht="31.5" customHeight="1" x14ac:dyDescent="0.25">
      <c r="A24" s="98" t="s">
        <v>101</v>
      </c>
      <c r="B24" s="98"/>
      <c r="D24" s="98" t="s">
        <v>107</v>
      </c>
      <c r="E24" s="98"/>
    </row>
    <row r="25" spans="1:5" x14ac:dyDescent="0.25">
      <c r="A25" s="99" t="s">
        <v>66</v>
      </c>
      <c r="B25" s="99"/>
      <c r="D25" s="99" t="s">
        <v>66</v>
      </c>
      <c r="E25" s="99"/>
    </row>
    <row r="26" spans="1:5" x14ac:dyDescent="0.25">
      <c r="A26" s="56" t="s">
        <v>67</v>
      </c>
      <c r="B26" s="8" t="s">
        <v>242</v>
      </c>
      <c r="D26" s="56" t="s">
        <v>67</v>
      </c>
      <c r="E26" s="8" t="s">
        <v>242</v>
      </c>
    </row>
    <row r="27" spans="1:5" x14ac:dyDescent="0.25">
      <c r="A27" s="56" t="s">
        <v>64</v>
      </c>
      <c r="B27" s="8" t="s">
        <v>73</v>
      </c>
      <c r="D27" s="56" t="s">
        <v>64</v>
      </c>
      <c r="E27" s="8" t="s">
        <v>73</v>
      </c>
    </row>
    <row r="28" spans="1:5" x14ac:dyDescent="0.25">
      <c r="A28" s="56" t="s">
        <v>63</v>
      </c>
      <c r="B28" s="8" t="s">
        <v>74</v>
      </c>
      <c r="D28" s="56" t="s">
        <v>63</v>
      </c>
      <c r="E28" s="8" t="s">
        <v>74</v>
      </c>
    </row>
    <row r="29" spans="1:5" ht="15" x14ac:dyDescent="0.25">
      <c r="A29" s="56" t="s">
        <v>86</v>
      </c>
      <c r="B29" s="100" t="s">
        <v>75</v>
      </c>
      <c r="D29" s="56" t="s">
        <v>86</v>
      </c>
      <c r="E29" s="100" t="s">
        <v>75</v>
      </c>
    </row>
    <row r="30" spans="1:5" x14ac:dyDescent="0.25">
      <c r="A30" s="56" t="s">
        <v>202</v>
      </c>
      <c r="B30" s="59">
        <v>46116</v>
      </c>
      <c r="D30" s="56" t="s">
        <v>202</v>
      </c>
      <c r="E30" s="59">
        <v>46116</v>
      </c>
    </row>
    <row r="31" spans="1:5" x14ac:dyDescent="0.25">
      <c r="A31" s="98" t="s">
        <v>65</v>
      </c>
      <c r="B31" s="98"/>
      <c r="D31" s="98" t="s">
        <v>65</v>
      </c>
      <c r="E31" s="98"/>
    </row>
    <row r="32" spans="1:5" x14ac:dyDescent="0.25">
      <c r="A32" s="56" t="s">
        <v>67</v>
      </c>
      <c r="B32" s="8" t="s">
        <v>92</v>
      </c>
      <c r="D32" s="56" t="s">
        <v>67</v>
      </c>
      <c r="E32" s="8" t="s">
        <v>102</v>
      </c>
    </row>
    <row r="33" spans="1:5" x14ac:dyDescent="0.25">
      <c r="A33" s="56" t="s">
        <v>64</v>
      </c>
      <c r="B33" s="8" t="s">
        <v>70</v>
      </c>
      <c r="D33" s="56" t="s">
        <v>64</v>
      </c>
      <c r="E33" s="8" t="s">
        <v>70</v>
      </c>
    </row>
    <row r="34" spans="1:5" x14ac:dyDescent="0.25">
      <c r="A34" s="56" t="s">
        <v>63</v>
      </c>
      <c r="B34" s="8" t="s">
        <v>93</v>
      </c>
      <c r="D34" s="56" t="s">
        <v>63</v>
      </c>
      <c r="E34" s="8" t="s">
        <v>93</v>
      </c>
    </row>
    <row r="35" spans="1:5" x14ac:dyDescent="0.25">
      <c r="A35" s="56" t="s">
        <v>86</v>
      </c>
      <c r="B35" s="8" t="s">
        <v>94</v>
      </c>
      <c r="D35" s="56" t="s">
        <v>86</v>
      </c>
      <c r="E35" s="8" t="s">
        <v>103</v>
      </c>
    </row>
    <row r="36" spans="1:5" x14ac:dyDescent="0.25">
      <c r="A36" s="98" t="s">
        <v>68</v>
      </c>
      <c r="B36" s="98"/>
      <c r="D36" s="98" t="s">
        <v>68</v>
      </c>
      <c r="E36" s="98"/>
    </row>
    <row r="37" spans="1:5" x14ac:dyDescent="0.25">
      <c r="A37" s="56" t="s">
        <v>62</v>
      </c>
      <c r="B37" s="8" t="s">
        <v>95</v>
      </c>
      <c r="D37" s="56" t="s">
        <v>62</v>
      </c>
      <c r="E37" s="8" t="s">
        <v>95</v>
      </c>
    </row>
    <row r="38" spans="1:5" x14ac:dyDescent="0.25">
      <c r="A38" s="56" t="s">
        <v>61</v>
      </c>
      <c r="B38" s="56" t="s">
        <v>99</v>
      </c>
      <c r="D38" s="56" t="s">
        <v>61</v>
      </c>
      <c r="E38" s="56" t="s">
        <v>99</v>
      </c>
    </row>
    <row r="39" spans="1:5" x14ac:dyDescent="0.25">
      <c r="A39" s="8" t="s">
        <v>96</v>
      </c>
      <c r="B39" s="96">
        <f>40000*10</f>
        <v>400000</v>
      </c>
      <c r="D39" s="8" t="s">
        <v>104</v>
      </c>
      <c r="E39" s="96">
        <f>50000*10</f>
        <v>500000</v>
      </c>
    </row>
    <row r="40" spans="1:5" x14ac:dyDescent="0.25">
      <c r="A40" s="8" t="s">
        <v>97</v>
      </c>
      <c r="B40" s="96">
        <f>40000*10</f>
        <v>400000</v>
      </c>
      <c r="D40" s="8" t="s">
        <v>105</v>
      </c>
      <c r="E40" s="96">
        <f>50000*10</f>
        <v>500000</v>
      </c>
    </row>
    <row r="41" spans="1:5" x14ac:dyDescent="0.25">
      <c r="A41" s="8" t="s">
        <v>98</v>
      </c>
      <c r="B41" s="96">
        <f>35000*10</f>
        <v>350000</v>
      </c>
      <c r="D41" s="8" t="s">
        <v>106</v>
      </c>
      <c r="E41" s="96">
        <f>45000*10</f>
        <v>450000</v>
      </c>
    </row>
    <row r="42" spans="1:5" x14ac:dyDescent="0.25">
      <c r="A42" s="56" t="s">
        <v>80</v>
      </c>
      <c r="B42" s="101">
        <v>30</v>
      </c>
      <c r="D42" s="56" t="s">
        <v>80</v>
      </c>
      <c r="E42" s="101">
        <v>30</v>
      </c>
    </row>
    <row r="43" spans="1:5" x14ac:dyDescent="0.25">
      <c r="A43" s="56" t="s">
        <v>81</v>
      </c>
      <c r="B43" s="96">
        <f>SUM(B39:B41)</f>
        <v>1150000</v>
      </c>
      <c r="D43" s="56" t="s">
        <v>81</v>
      </c>
      <c r="E43" s="96">
        <f>SUM(E39:E41)</f>
        <v>1450000</v>
      </c>
    </row>
    <row r="44" spans="1:5" x14ac:dyDescent="0.25">
      <c r="A44" s="56" t="s">
        <v>82</v>
      </c>
      <c r="B44" s="96">
        <f>B43*19%</f>
        <v>218500</v>
      </c>
      <c r="D44" s="56" t="s">
        <v>82</v>
      </c>
      <c r="E44" s="96">
        <f>E43*19%</f>
        <v>275500</v>
      </c>
    </row>
    <row r="45" spans="1:5" x14ac:dyDescent="0.25">
      <c r="A45" s="56" t="s">
        <v>83</v>
      </c>
      <c r="B45" s="96">
        <f>SUM(B43,B44)</f>
        <v>1368500</v>
      </c>
      <c r="D45" s="56" t="s">
        <v>83</v>
      </c>
      <c r="E45" s="96">
        <f>SUM(E43,E44)</f>
        <v>1725500</v>
      </c>
    </row>
    <row r="47" spans="1:5" ht="21.75" customHeight="1" x14ac:dyDescent="0.25">
      <c r="A47" s="98" t="s">
        <v>108</v>
      </c>
      <c r="B47" s="98"/>
    </row>
    <row r="48" spans="1:5" x14ac:dyDescent="0.25">
      <c r="A48" s="99" t="s">
        <v>66</v>
      </c>
      <c r="B48" s="99"/>
    </row>
    <row r="49" spans="1:2" x14ac:dyDescent="0.25">
      <c r="A49" s="56" t="s">
        <v>67</v>
      </c>
      <c r="B49" s="8" t="s">
        <v>242</v>
      </c>
    </row>
    <row r="50" spans="1:2" x14ac:dyDescent="0.25">
      <c r="A50" s="56" t="s">
        <v>64</v>
      </c>
      <c r="B50" s="8" t="s">
        <v>73</v>
      </c>
    </row>
    <row r="51" spans="1:2" x14ac:dyDescent="0.25">
      <c r="A51" s="56" t="s">
        <v>63</v>
      </c>
      <c r="B51" s="8" t="s">
        <v>74</v>
      </c>
    </row>
    <row r="52" spans="1:2" ht="15" x14ac:dyDescent="0.25">
      <c r="A52" s="56" t="s">
        <v>86</v>
      </c>
      <c r="B52" s="100" t="s">
        <v>75</v>
      </c>
    </row>
    <row r="53" spans="1:2" x14ac:dyDescent="0.25">
      <c r="A53" s="56" t="s">
        <v>202</v>
      </c>
      <c r="B53" s="59">
        <v>46117</v>
      </c>
    </row>
    <row r="54" spans="1:2" x14ac:dyDescent="0.25">
      <c r="A54" s="98" t="s">
        <v>65</v>
      </c>
      <c r="B54" s="98"/>
    </row>
    <row r="55" spans="1:2" x14ac:dyDescent="0.25">
      <c r="A55" s="56" t="s">
        <v>67</v>
      </c>
      <c r="B55" s="8" t="s">
        <v>109</v>
      </c>
    </row>
    <row r="56" spans="1:2" x14ac:dyDescent="0.25">
      <c r="A56" s="56" t="s">
        <v>64</v>
      </c>
      <c r="B56" s="8" t="s">
        <v>70</v>
      </c>
    </row>
    <row r="57" spans="1:2" x14ac:dyDescent="0.25">
      <c r="A57" s="56" t="s">
        <v>63</v>
      </c>
      <c r="B57" s="8" t="s">
        <v>110</v>
      </c>
    </row>
    <row r="58" spans="1:2" x14ac:dyDescent="0.25">
      <c r="A58" s="56" t="s">
        <v>86</v>
      </c>
      <c r="B58" s="8" t="s">
        <v>111</v>
      </c>
    </row>
    <row r="59" spans="1:2" x14ac:dyDescent="0.25">
      <c r="A59" s="98" t="s">
        <v>68</v>
      </c>
      <c r="B59" s="98"/>
    </row>
    <row r="60" spans="1:2" x14ac:dyDescent="0.25">
      <c r="A60" s="56" t="s">
        <v>62</v>
      </c>
      <c r="B60" s="8" t="s">
        <v>95</v>
      </c>
    </row>
    <row r="61" spans="1:2" x14ac:dyDescent="0.25">
      <c r="A61" s="56" t="s">
        <v>61</v>
      </c>
      <c r="B61" s="56" t="s">
        <v>99</v>
      </c>
    </row>
    <row r="62" spans="1:2" x14ac:dyDescent="0.25">
      <c r="A62" s="8" t="s">
        <v>112</v>
      </c>
      <c r="B62" s="96">
        <f>30000*10</f>
        <v>300000</v>
      </c>
    </row>
    <row r="63" spans="1:2" x14ac:dyDescent="0.25">
      <c r="A63" s="8" t="s">
        <v>113</v>
      </c>
      <c r="B63" s="96">
        <f>35000*10</f>
        <v>350000</v>
      </c>
    </row>
    <row r="64" spans="1:2" x14ac:dyDescent="0.25">
      <c r="A64" s="8" t="s">
        <v>114</v>
      </c>
      <c r="B64" s="96">
        <f>20000*10</f>
        <v>200000</v>
      </c>
    </row>
    <row r="65" spans="1:2" x14ac:dyDescent="0.25">
      <c r="A65" s="8" t="s">
        <v>115</v>
      </c>
      <c r="B65" s="96">
        <f>70000*10</f>
        <v>700000</v>
      </c>
    </row>
    <row r="66" spans="1:2" x14ac:dyDescent="0.25">
      <c r="A66" s="56" t="s">
        <v>80</v>
      </c>
      <c r="B66" s="101">
        <v>40</v>
      </c>
    </row>
    <row r="67" spans="1:2" x14ac:dyDescent="0.25">
      <c r="A67" s="56" t="s">
        <v>81</v>
      </c>
      <c r="B67" s="96">
        <f>SUM(B62:B65)</f>
        <v>1550000</v>
      </c>
    </row>
    <row r="68" spans="1:2" x14ac:dyDescent="0.25">
      <c r="A68" s="56" t="s">
        <v>82</v>
      </c>
      <c r="B68" s="96">
        <f>B67*19%</f>
        <v>294500</v>
      </c>
    </row>
    <row r="69" spans="1:2" x14ac:dyDescent="0.25">
      <c r="A69" s="56" t="s">
        <v>83</v>
      </c>
      <c r="B69" s="96">
        <f>SUM(B67,B68)</f>
        <v>1844500</v>
      </c>
    </row>
  </sheetData>
  <mergeCells count="20">
    <mergeCell ref="A47:B47"/>
    <mergeCell ref="A48:B48"/>
    <mergeCell ref="A54:B54"/>
    <mergeCell ref="A59:B59"/>
    <mergeCell ref="A31:B31"/>
    <mergeCell ref="A36:B36"/>
    <mergeCell ref="D24:E24"/>
    <mergeCell ref="D25:E25"/>
    <mergeCell ref="D31:E31"/>
    <mergeCell ref="D36:E36"/>
    <mergeCell ref="D1:E1"/>
    <mergeCell ref="D2:E2"/>
    <mergeCell ref="D8:E8"/>
    <mergeCell ref="D13:E13"/>
    <mergeCell ref="A24:B24"/>
    <mergeCell ref="A25:B25"/>
    <mergeCell ref="A1:B1"/>
    <mergeCell ref="A2:B2"/>
    <mergeCell ref="A8:B8"/>
    <mergeCell ref="A13:B13"/>
  </mergeCells>
  <hyperlinks>
    <hyperlink ref="B6" r:id="rId1" display="Legacy@gmail" xr:uid="{AC9D78FF-8DFF-42F7-B45A-D832DBE9CE45}"/>
    <hyperlink ref="E6" r:id="rId2" display="Legacy@gmail" xr:uid="{50D8B39F-5FEB-4475-8238-935417EFDF4C}"/>
    <hyperlink ref="B29" r:id="rId3" display="Legacy@gmail" xr:uid="{516BF3B0-E193-40A6-9E4E-B8BB98B1926F}"/>
    <hyperlink ref="E29" r:id="rId4" display="Legacy@gmail" xr:uid="{22EFF434-819D-489B-8CB0-90A6C2EF7B8F}"/>
    <hyperlink ref="B52" r:id="rId5" display="Legacy@gmail" xr:uid="{F19546CD-E894-420D-84CD-B6456E9875FA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A3B9-C31F-426D-B2FB-1C72022B85E7}">
  <sheetPr>
    <tabColor theme="1"/>
  </sheetPr>
  <dimension ref="A1:G39"/>
  <sheetViews>
    <sheetView workbookViewId="0">
      <selection activeCell="A35" sqref="A35:G35"/>
    </sheetView>
  </sheetViews>
  <sheetFormatPr baseColWidth="10" defaultRowHeight="14.25" x14ac:dyDescent="0.25"/>
  <cols>
    <col min="1" max="1" width="14.5703125" style="3" customWidth="1"/>
    <col min="2" max="2" width="25.140625" style="3" customWidth="1"/>
    <col min="3" max="3" width="15.5703125" style="3" customWidth="1"/>
    <col min="4" max="4" width="11.5703125" style="3" bestFit="1" customWidth="1"/>
    <col min="5" max="6" width="12.140625" style="3" bestFit="1" customWidth="1"/>
    <col min="7" max="7" width="13.85546875" style="3" bestFit="1" customWidth="1"/>
    <col min="8" max="16384" width="11.42578125" style="3"/>
  </cols>
  <sheetData>
    <row r="1" spans="1:7" ht="19.5" customHeight="1" x14ac:dyDescent="0.25">
      <c r="A1" s="62" t="s">
        <v>141</v>
      </c>
      <c r="B1" s="62"/>
      <c r="C1" s="62"/>
      <c r="D1" s="62"/>
      <c r="E1" s="62"/>
      <c r="F1" s="62"/>
      <c r="G1" s="62"/>
    </row>
    <row r="2" spans="1:7" ht="28.5" x14ac:dyDescent="0.25">
      <c r="A2" s="76" t="s">
        <v>0</v>
      </c>
      <c r="B2" s="76" t="s">
        <v>137</v>
      </c>
      <c r="C2" s="76" t="s">
        <v>138</v>
      </c>
      <c r="D2" s="76" t="s">
        <v>139</v>
      </c>
      <c r="E2" s="76" t="s">
        <v>140</v>
      </c>
      <c r="F2" s="77" t="s">
        <v>263</v>
      </c>
      <c r="G2" s="77" t="s">
        <v>146</v>
      </c>
    </row>
    <row r="3" spans="1:7" x14ac:dyDescent="0.25">
      <c r="A3" s="13" t="s">
        <v>44</v>
      </c>
      <c r="B3" s="25" t="s">
        <v>7</v>
      </c>
      <c r="C3" s="13">
        <v>10</v>
      </c>
      <c r="D3" s="84">
        <v>30000</v>
      </c>
      <c r="E3" s="84">
        <v>300000</v>
      </c>
      <c r="F3" s="102">
        <v>171000</v>
      </c>
      <c r="G3" s="102">
        <v>1071000</v>
      </c>
    </row>
    <row r="4" spans="1:7" x14ac:dyDescent="0.25">
      <c r="A4" s="13" t="s">
        <v>45</v>
      </c>
      <c r="B4" s="25" t="s">
        <v>11</v>
      </c>
      <c r="C4" s="13">
        <v>10</v>
      </c>
      <c r="D4" s="84">
        <v>30000</v>
      </c>
      <c r="E4" s="84">
        <v>300000</v>
      </c>
      <c r="F4" s="102"/>
      <c r="G4" s="102"/>
    </row>
    <row r="5" spans="1:7" x14ac:dyDescent="0.25">
      <c r="A5" s="13" t="s">
        <v>46</v>
      </c>
      <c r="B5" s="25" t="s">
        <v>14</v>
      </c>
      <c r="C5" s="13">
        <v>10</v>
      </c>
      <c r="D5" s="84">
        <v>30000</v>
      </c>
      <c r="E5" s="84">
        <v>300000</v>
      </c>
      <c r="F5" s="102"/>
      <c r="G5" s="102"/>
    </row>
    <row r="7" spans="1:7" ht="18" customHeight="1" x14ac:dyDescent="0.25">
      <c r="A7" s="62" t="s">
        <v>142</v>
      </c>
      <c r="B7" s="62"/>
      <c r="C7" s="62"/>
      <c r="D7" s="62"/>
      <c r="E7" s="62"/>
      <c r="F7" s="62"/>
      <c r="G7" s="62"/>
    </row>
    <row r="8" spans="1:7" ht="28.5" x14ac:dyDescent="0.25">
      <c r="A8" s="76" t="s">
        <v>0</v>
      </c>
      <c r="B8" s="76" t="s">
        <v>137</v>
      </c>
      <c r="C8" s="76" t="s">
        <v>138</v>
      </c>
      <c r="D8" s="76" t="s">
        <v>139</v>
      </c>
      <c r="E8" s="76" t="s">
        <v>140</v>
      </c>
      <c r="F8" s="77" t="s">
        <v>263</v>
      </c>
      <c r="G8" s="77" t="s">
        <v>146</v>
      </c>
    </row>
    <row r="9" spans="1:7" x14ac:dyDescent="0.25">
      <c r="A9" s="12" t="s">
        <v>47</v>
      </c>
      <c r="B9" s="24" t="s">
        <v>15</v>
      </c>
      <c r="C9" s="12">
        <v>10</v>
      </c>
      <c r="D9" s="90">
        <v>20000</v>
      </c>
      <c r="E9" s="90">
        <v>200000</v>
      </c>
      <c r="F9" s="102">
        <v>114000</v>
      </c>
      <c r="G9" s="102">
        <v>714000</v>
      </c>
    </row>
    <row r="10" spans="1:7" x14ac:dyDescent="0.25">
      <c r="A10" s="12" t="s">
        <v>48</v>
      </c>
      <c r="B10" s="24" t="s">
        <v>16</v>
      </c>
      <c r="C10" s="12">
        <v>10</v>
      </c>
      <c r="D10" s="90">
        <v>20000</v>
      </c>
      <c r="E10" s="90">
        <v>200000</v>
      </c>
      <c r="F10" s="102"/>
      <c r="G10" s="102"/>
    </row>
    <row r="11" spans="1:7" x14ac:dyDescent="0.25">
      <c r="A11" s="12" t="s">
        <v>49</v>
      </c>
      <c r="B11" s="24" t="s">
        <v>17</v>
      </c>
      <c r="C11" s="12">
        <v>10</v>
      </c>
      <c r="D11" s="90">
        <v>20000</v>
      </c>
      <c r="E11" s="90">
        <v>200000</v>
      </c>
      <c r="F11" s="102"/>
      <c r="G11" s="102"/>
    </row>
    <row r="13" spans="1:7" ht="21.75" customHeight="1" x14ac:dyDescent="0.25">
      <c r="A13" s="62" t="s">
        <v>143</v>
      </c>
      <c r="B13" s="62"/>
      <c r="C13" s="62"/>
      <c r="D13" s="62"/>
      <c r="E13" s="62"/>
      <c r="F13" s="62"/>
      <c r="G13" s="62"/>
    </row>
    <row r="14" spans="1:7" ht="28.5" x14ac:dyDescent="0.25">
      <c r="A14" s="76" t="s">
        <v>0</v>
      </c>
      <c r="B14" s="76" t="s">
        <v>137</v>
      </c>
      <c r="C14" s="76" t="s">
        <v>138</v>
      </c>
      <c r="D14" s="76" t="s">
        <v>139</v>
      </c>
      <c r="E14" s="76" t="s">
        <v>140</v>
      </c>
      <c r="F14" s="77" t="s">
        <v>263</v>
      </c>
      <c r="G14" s="77" t="s">
        <v>146</v>
      </c>
    </row>
    <row r="15" spans="1:7" x14ac:dyDescent="0.25">
      <c r="A15" s="12" t="s">
        <v>50</v>
      </c>
      <c r="B15" s="24" t="s">
        <v>25</v>
      </c>
      <c r="C15" s="12">
        <v>10</v>
      </c>
      <c r="D15" s="90">
        <v>40000</v>
      </c>
      <c r="E15" s="90">
        <v>400000</v>
      </c>
      <c r="F15" s="102">
        <v>218500</v>
      </c>
      <c r="G15" s="102">
        <v>1368500</v>
      </c>
    </row>
    <row r="16" spans="1:7" x14ac:dyDescent="0.25">
      <c r="A16" s="12" t="s">
        <v>51</v>
      </c>
      <c r="B16" s="24" t="s">
        <v>27</v>
      </c>
      <c r="C16" s="12">
        <v>10</v>
      </c>
      <c r="D16" s="90">
        <v>40000</v>
      </c>
      <c r="E16" s="90">
        <v>400000</v>
      </c>
      <c r="F16" s="102"/>
      <c r="G16" s="102"/>
    </row>
    <row r="17" spans="1:7" x14ac:dyDescent="0.25">
      <c r="A17" s="12" t="s">
        <v>52</v>
      </c>
      <c r="B17" s="24" t="s">
        <v>26</v>
      </c>
      <c r="C17" s="12">
        <v>10</v>
      </c>
      <c r="D17" s="90">
        <v>35000</v>
      </c>
      <c r="E17" s="90">
        <v>350000</v>
      </c>
      <c r="F17" s="102"/>
      <c r="G17" s="102"/>
    </row>
    <row r="19" spans="1:7" ht="24.75" customHeight="1" x14ac:dyDescent="0.25">
      <c r="A19" s="62" t="s">
        <v>144</v>
      </c>
      <c r="B19" s="62"/>
      <c r="C19" s="62"/>
      <c r="D19" s="62"/>
      <c r="E19" s="62"/>
      <c r="F19" s="62"/>
      <c r="G19" s="62"/>
    </row>
    <row r="20" spans="1:7" ht="28.5" x14ac:dyDescent="0.25">
      <c r="A20" s="76" t="s">
        <v>0</v>
      </c>
      <c r="B20" s="76" t="s">
        <v>137</v>
      </c>
      <c r="C20" s="76" t="s">
        <v>138</v>
      </c>
      <c r="D20" s="76" t="s">
        <v>139</v>
      </c>
      <c r="E20" s="76" t="s">
        <v>140</v>
      </c>
      <c r="F20" s="77" t="s">
        <v>263</v>
      </c>
      <c r="G20" s="77" t="s">
        <v>146</v>
      </c>
    </row>
    <row r="21" spans="1:7" x14ac:dyDescent="0.25">
      <c r="A21" s="12" t="s">
        <v>53</v>
      </c>
      <c r="B21" s="24" t="s">
        <v>31</v>
      </c>
      <c r="C21" s="12">
        <v>10</v>
      </c>
      <c r="D21" s="90">
        <v>50000</v>
      </c>
      <c r="E21" s="90">
        <v>500000</v>
      </c>
      <c r="F21" s="102">
        <v>275500</v>
      </c>
      <c r="G21" s="102">
        <v>1725500</v>
      </c>
    </row>
    <row r="22" spans="1:7" x14ac:dyDescent="0.25">
      <c r="A22" s="12" t="s">
        <v>54</v>
      </c>
      <c r="B22" s="24" t="s">
        <v>32</v>
      </c>
      <c r="C22" s="12">
        <v>10</v>
      </c>
      <c r="D22" s="90">
        <v>50000</v>
      </c>
      <c r="E22" s="90">
        <v>500000</v>
      </c>
      <c r="F22" s="102"/>
      <c r="G22" s="102"/>
    </row>
    <row r="23" spans="1:7" x14ac:dyDescent="0.25">
      <c r="A23" s="12" t="s">
        <v>55</v>
      </c>
      <c r="B23" s="24" t="s">
        <v>33</v>
      </c>
      <c r="C23" s="12">
        <v>10</v>
      </c>
      <c r="D23" s="90">
        <v>45000</v>
      </c>
      <c r="E23" s="90">
        <v>450000</v>
      </c>
      <c r="F23" s="102"/>
      <c r="G23" s="102"/>
    </row>
    <row r="24" spans="1:7" x14ac:dyDescent="0.25">
      <c r="A24" s="12"/>
      <c r="B24" s="12"/>
      <c r="C24" s="12"/>
      <c r="D24" s="12"/>
      <c r="E24" s="12"/>
    </row>
    <row r="26" spans="1:7" ht="21" customHeight="1" x14ac:dyDescent="0.25">
      <c r="A26" s="62" t="s">
        <v>145</v>
      </c>
      <c r="B26" s="62"/>
      <c r="C26" s="62"/>
      <c r="D26" s="62"/>
      <c r="E26" s="62"/>
      <c r="F26" s="62"/>
      <c r="G26" s="62"/>
    </row>
    <row r="27" spans="1:7" ht="28.5" x14ac:dyDescent="0.25">
      <c r="A27" s="76" t="s">
        <v>0</v>
      </c>
      <c r="B27" s="76" t="s">
        <v>137</v>
      </c>
      <c r="C27" s="76" t="s">
        <v>138</v>
      </c>
      <c r="D27" s="76" t="s">
        <v>139</v>
      </c>
      <c r="E27" s="76" t="s">
        <v>140</v>
      </c>
      <c r="F27" s="77" t="s">
        <v>263</v>
      </c>
      <c r="G27" s="77" t="s">
        <v>146</v>
      </c>
    </row>
    <row r="28" spans="1:7" x14ac:dyDescent="0.25">
      <c r="A28" s="12" t="s">
        <v>56</v>
      </c>
      <c r="B28" s="24" t="s">
        <v>36</v>
      </c>
      <c r="C28" s="12">
        <v>10</v>
      </c>
      <c r="D28" s="90">
        <v>30000</v>
      </c>
      <c r="E28" s="90">
        <v>300000</v>
      </c>
      <c r="F28" s="102">
        <v>294500</v>
      </c>
      <c r="G28" s="102">
        <v>1844500</v>
      </c>
    </row>
    <row r="29" spans="1:7" ht="28.5" x14ac:dyDescent="0.25">
      <c r="A29" s="12" t="s">
        <v>57</v>
      </c>
      <c r="B29" s="24" t="s">
        <v>38</v>
      </c>
      <c r="C29" s="12">
        <v>10</v>
      </c>
      <c r="D29" s="90">
        <v>35000</v>
      </c>
      <c r="E29" s="90">
        <v>350000</v>
      </c>
      <c r="F29" s="102"/>
      <c r="G29" s="102"/>
    </row>
    <row r="30" spans="1:7" x14ac:dyDescent="0.25">
      <c r="A30" s="12" t="s">
        <v>58</v>
      </c>
      <c r="B30" s="24" t="s">
        <v>39</v>
      </c>
      <c r="C30" s="12">
        <v>10</v>
      </c>
      <c r="D30" s="90">
        <v>20000</v>
      </c>
      <c r="E30" s="90">
        <v>200000</v>
      </c>
      <c r="F30" s="102"/>
      <c r="G30" s="102"/>
    </row>
    <row r="31" spans="1:7" x14ac:dyDescent="0.25">
      <c r="A31" s="12" t="s">
        <v>59</v>
      </c>
      <c r="B31" s="24" t="s">
        <v>40</v>
      </c>
      <c r="C31" s="12">
        <v>10</v>
      </c>
      <c r="D31" s="90">
        <v>70000</v>
      </c>
      <c r="E31" s="90">
        <v>700000</v>
      </c>
      <c r="F31" s="102"/>
      <c r="G31" s="102"/>
    </row>
    <row r="34" spans="1:7" x14ac:dyDescent="0.25">
      <c r="A34" s="62" t="s">
        <v>148</v>
      </c>
      <c r="B34" s="62"/>
      <c r="C34" s="62"/>
      <c r="D34" s="62"/>
      <c r="E34" s="62"/>
      <c r="F34" s="62"/>
      <c r="G34" s="62"/>
    </row>
    <row r="35" spans="1:7" x14ac:dyDescent="0.25">
      <c r="A35" s="63">
        <f>SUM(G3,G9,G15,G21,G28)</f>
        <v>6723500</v>
      </c>
      <c r="B35" s="63"/>
      <c r="C35" s="63"/>
      <c r="D35" s="63"/>
      <c r="E35" s="63"/>
      <c r="F35" s="63"/>
      <c r="G35" s="63"/>
    </row>
    <row r="36" spans="1:7" x14ac:dyDescent="0.25">
      <c r="A36" s="62" t="s">
        <v>149</v>
      </c>
      <c r="B36" s="62"/>
      <c r="C36" s="62"/>
      <c r="D36" s="62"/>
      <c r="E36" s="62"/>
      <c r="F36" s="62"/>
      <c r="G36" s="62"/>
    </row>
    <row r="37" spans="1:7" x14ac:dyDescent="0.25">
      <c r="A37" s="63">
        <v>5650000</v>
      </c>
      <c r="B37" s="63"/>
      <c r="C37" s="63"/>
      <c r="D37" s="63"/>
      <c r="E37" s="63"/>
      <c r="F37" s="63"/>
      <c r="G37" s="63"/>
    </row>
    <row r="38" spans="1:7" x14ac:dyDescent="0.25">
      <c r="A38" s="62" t="s">
        <v>147</v>
      </c>
      <c r="B38" s="62"/>
      <c r="C38" s="62"/>
      <c r="D38" s="62"/>
      <c r="E38" s="62"/>
      <c r="F38" s="62"/>
      <c r="G38" s="62"/>
    </row>
    <row r="39" spans="1:7" x14ac:dyDescent="0.25">
      <c r="A39" s="63">
        <f>SUM(F3,F9,F15,F21,F28)</f>
        <v>1073500</v>
      </c>
      <c r="B39" s="63"/>
      <c r="C39" s="63"/>
      <c r="D39" s="63"/>
      <c r="E39" s="63"/>
      <c r="F39" s="63"/>
      <c r="G39" s="63"/>
    </row>
  </sheetData>
  <mergeCells count="21">
    <mergeCell ref="A39:G39"/>
    <mergeCell ref="A36:G36"/>
    <mergeCell ref="A37:G37"/>
    <mergeCell ref="A26:G26"/>
    <mergeCell ref="F28:F31"/>
    <mergeCell ref="G28:G31"/>
    <mergeCell ref="A34:G34"/>
    <mergeCell ref="A35:G35"/>
    <mergeCell ref="A38:G38"/>
    <mergeCell ref="F15:F17"/>
    <mergeCell ref="G15:G17"/>
    <mergeCell ref="F21:F23"/>
    <mergeCell ref="G21:G23"/>
    <mergeCell ref="A13:G13"/>
    <mergeCell ref="A19:G19"/>
    <mergeCell ref="A1:G1"/>
    <mergeCell ref="F3:F5"/>
    <mergeCell ref="G3:G5"/>
    <mergeCell ref="A7:G7"/>
    <mergeCell ref="F9:F11"/>
    <mergeCell ref="G9:G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2F8C-86F2-420F-B48A-24541C4B1DCD}">
  <sheetPr>
    <tabColor theme="1"/>
  </sheetPr>
  <dimension ref="A1:G17"/>
  <sheetViews>
    <sheetView workbookViewId="0">
      <selection activeCell="D18" sqref="D18"/>
    </sheetView>
  </sheetViews>
  <sheetFormatPr baseColWidth="10" defaultRowHeight="21" customHeight="1" x14ac:dyDescent="0.25"/>
  <cols>
    <col min="1" max="1" width="14.85546875" style="3" customWidth="1"/>
    <col min="2" max="2" width="31.42578125" style="4" customWidth="1"/>
    <col min="3" max="3" width="16.140625" style="4" customWidth="1"/>
    <col min="4" max="4" width="15.28515625" style="3" customWidth="1"/>
    <col min="5" max="5" width="19.7109375" style="4" customWidth="1"/>
    <col min="6" max="6" width="17" style="3" customWidth="1"/>
    <col min="7" max="7" width="27.28515625" style="3" customWidth="1"/>
    <col min="8" max="16384" width="11.42578125" style="3"/>
  </cols>
  <sheetData>
    <row r="1" spans="1:7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" customHeight="1" x14ac:dyDescent="0.25">
      <c r="A2" s="4" t="s">
        <v>44</v>
      </c>
      <c r="B2" s="4" t="s">
        <v>7</v>
      </c>
      <c r="C2" s="4" t="s">
        <v>8</v>
      </c>
      <c r="D2" s="3" t="s">
        <v>9</v>
      </c>
      <c r="E2" s="4" t="s">
        <v>10</v>
      </c>
      <c r="F2" s="38">
        <v>30000</v>
      </c>
      <c r="G2" s="38">
        <v>60000</v>
      </c>
    </row>
    <row r="3" spans="1:7" ht="21" customHeight="1" x14ac:dyDescent="0.25">
      <c r="A3" s="4" t="s">
        <v>45</v>
      </c>
      <c r="B3" s="4" t="s">
        <v>11</v>
      </c>
      <c r="C3" s="4" t="s">
        <v>8</v>
      </c>
      <c r="D3" s="3" t="s">
        <v>9</v>
      </c>
      <c r="E3" s="4" t="s">
        <v>12</v>
      </c>
      <c r="F3" s="38">
        <v>30000</v>
      </c>
      <c r="G3" s="38">
        <v>60000</v>
      </c>
    </row>
    <row r="4" spans="1:7" ht="21" customHeight="1" x14ac:dyDescent="0.25">
      <c r="A4" s="4" t="s">
        <v>46</v>
      </c>
      <c r="B4" s="4" t="s">
        <v>14</v>
      </c>
      <c r="C4" s="4" t="s">
        <v>8</v>
      </c>
      <c r="D4" s="3" t="s">
        <v>9</v>
      </c>
      <c r="E4" s="4" t="s">
        <v>13</v>
      </c>
      <c r="F4" s="38">
        <v>30000</v>
      </c>
      <c r="G4" s="38">
        <v>60000</v>
      </c>
    </row>
    <row r="5" spans="1:7" ht="21" customHeight="1" x14ac:dyDescent="0.25">
      <c r="A5" s="4" t="s">
        <v>47</v>
      </c>
      <c r="B5" s="4" t="s">
        <v>15</v>
      </c>
      <c r="C5" s="4" t="s">
        <v>18</v>
      </c>
      <c r="D5" s="3" t="s">
        <v>19</v>
      </c>
      <c r="E5" s="4" t="s">
        <v>22</v>
      </c>
      <c r="F5" s="38">
        <v>20000</v>
      </c>
      <c r="G5" s="38">
        <v>40000</v>
      </c>
    </row>
    <row r="6" spans="1:7" ht="21" customHeight="1" x14ac:dyDescent="0.25">
      <c r="A6" s="4" t="s">
        <v>48</v>
      </c>
      <c r="B6" s="4" t="s">
        <v>16</v>
      </c>
      <c r="C6" s="4" t="s">
        <v>18</v>
      </c>
      <c r="D6" s="3" t="s">
        <v>20</v>
      </c>
      <c r="E6" s="4" t="s">
        <v>23</v>
      </c>
      <c r="F6" s="38">
        <v>20000</v>
      </c>
      <c r="G6" s="38">
        <v>40000</v>
      </c>
    </row>
    <row r="7" spans="1:7" ht="21" customHeight="1" x14ac:dyDescent="0.25">
      <c r="A7" s="4" t="s">
        <v>49</v>
      </c>
      <c r="B7" s="4" t="s">
        <v>17</v>
      </c>
      <c r="C7" s="4" t="s">
        <v>18</v>
      </c>
      <c r="D7" s="3" t="s">
        <v>21</v>
      </c>
      <c r="E7" s="4" t="s">
        <v>24</v>
      </c>
      <c r="F7" s="38">
        <v>20000</v>
      </c>
      <c r="G7" s="38">
        <v>40000</v>
      </c>
    </row>
    <row r="8" spans="1:7" ht="21" customHeight="1" x14ac:dyDescent="0.25">
      <c r="A8" s="4" t="s">
        <v>50</v>
      </c>
      <c r="B8" s="4" t="s">
        <v>25</v>
      </c>
      <c r="C8" s="4" t="s">
        <v>28</v>
      </c>
      <c r="D8" s="3" t="s">
        <v>9</v>
      </c>
      <c r="E8" s="4" t="s">
        <v>10</v>
      </c>
      <c r="F8" s="38">
        <v>40000</v>
      </c>
      <c r="G8" s="38">
        <v>60000</v>
      </c>
    </row>
    <row r="9" spans="1:7" ht="21" customHeight="1" x14ac:dyDescent="0.25">
      <c r="A9" s="4" t="s">
        <v>51</v>
      </c>
      <c r="B9" s="4" t="s">
        <v>27</v>
      </c>
      <c r="C9" s="4" t="s">
        <v>28</v>
      </c>
      <c r="D9" s="3" t="s">
        <v>9</v>
      </c>
      <c r="E9" s="4" t="s">
        <v>29</v>
      </c>
      <c r="F9" s="38">
        <v>40000</v>
      </c>
      <c r="G9" s="38">
        <v>60000</v>
      </c>
    </row>
    <row r="10" spans="1:7" ht="21" customHeight="1" x14ac:dyDescent="0.25">
      <c r="A10" s="4" t="s">
        <v>52</v>
      </c>
      <c r="B10" s="4" t="s">
        <v>26</v>
      </c>
      <c r="C10" s="4" t="s">
        <v>26</v>
      </c>
      <c r="D10" s="3" t="s">
        <v>9</v>
      </c>
      <c r="E10" s="4" t="s">
        <v>30</v>
      </c>
      <c r="F10" s="38">
        <v>35000</v>
      </c>
      <c r="G10" s="38">
        <v>55000</v>
      </c>
    </row>
    <row r="11" spans="1:7" ht="21" customHeight="1" x14ac:dyDescent="0.25">
      <c r="A11" s="4" t="s">
        <v>53</v>
      </c>
      <c r="B11" s="4" t="s">
        <v>31</v>
      </c>
      <c r="C11" s="4" t="s">
        <v>34</v>
      </c>
      <c r="D11" s="3">
        <v>37</v>
      </c>
      <c r="E11" s="4" t="s">
        <v>10</v>
      </c>
      <c r="F11" s="38">
        <v>50000</v>
      </c>
      <c r="G11" s="38">
        <v>80000</v>
      </c>
    </row>
    <row r="12" spans="1:7" ht="21" customHeight="1" x14ac:dyDescent="0.25">
      <c r="A12" s="4" t="s">
        <v>54</v>
      </c>
      <c r="B12" s="4" t="s">
        <v>32</v>
      </c>
      <c r="C12" s="4" t="s">
        <v>34</v>
      </c>
      <c r="D12" s="3">
        <v>37</v>
      </c>
      <c r="E12" s="4" t="s">
        <v>10</v>
      </c>
      <c r="F12" s="38">
        <v>50000</v>
      </c>
      <c r="G12" s="38">
        <v>80000</v>
      </c>
    </row>
    <row r="13" spans="1:7" ht="21" customHeight="1" x14ac:dyDescent="0.25">
      <c r="A13" s="4" t="s">
        <v>55</v>
      </c>
      <c r="B13" s="4" t="s">
        <v>33</v>
      </c>
      <c r="C13" s="4" t="s">
        <v>34</v>
      </c>
      <c r="D13" s="3">
        <v>37</v>
      </c>
      <c r="E13" s="4" t="s">
        <v>35</v>
      </c>
      <c r="F13" s="38">
        <v>45000</v>
      </c>
      <c r="G13" s="38">
        <v>70000</v>
      </c>
    </row>
    <row r="14" spans="1:7" ht="21" customHeight="1" x14ac:dyDescent="0.25">
      <c r="A14" s="4" t="s">
        <v>56</v>
      </c>
      <c r="B14" s="4" t="s">
        <v>36</v>
      </c>
      <c r="C14" s="4" t="s">
        <v>37</v>
      </c>
      <c r="D14" s="3" t="s">
        <v>9</v>
      </c>
      <c r="E14" s="4" t="s">
        <v>41</v>
      </c>
      <c r="F14" s="38">
        <v>30000</v>
      </c>
      <c r="G14" s="38">
        <v>120000</v>
      </c>
    </row>
    <row r="15" spans="1:7" ht="21" customHeight="1" x14ac:dyDescent="0.25">
      <c r="A15" s="4" t="s">
        <v>57</v>
      </c>
      <c r="B15" s="4" t="s">
        <v>38</v>
      </c>
      <c r="C15" s="4" t="s">
        <v>37</v>
      </c>
      <c r="D15" s="3" t="s">
        <v>9</v>
      </c>
      <c r="E15" s="4" t="s">
        <v>42</v>
      </c>
      <c r="F15" s="38">
        <v>35000</v>
      </c>
      <c r="G15" s="38">
        <v>120000</v>
      </c>
    </row>
    <row r="16" spans="1:7" ht="21" customHeight="1" x14ac:dyDescent="0.25">
      <c r="A16" s="4" t="s">
        <v>58</v>
      </c>
      <c r="B16" s="4" t="s">
        <v>39</v>
      </c>
      <c r="C16" s="4" t="s">
        <v>37</v>
      </c>
      <c r="D16" s="3" t="s">
        <v>9</v>
      </c>
      <c r="E16" s="4" t="s">
        <v>29</v>
      </c>
      <c r="F16" s="38">
        <v>20000</v>
      </c>
      <c r="G16" s="38">
        <v>50000</v>
      </c>
    </row>
    <row r="17" spans="1:7" ht="21" customHeight="1" x14ac:dyDescent="0.25">
      <c r="A17" s="4" t="s">
        <v>59</v>
      </c>
      <c r="B17" s="4" t="s">
        <v>40</v>
      </c>
      <c r="C17" s="4" t="s">
        <v>37</v>
      </c>
      <c r="D17" s="3" t="s">
        <v>9</v>
      </c>
      <c r="E17" s="4" t="s">
        <v>43</v>
      </c>
      <c r="F17" s="38">
        <v>70000</v>
      </c>
      <c r="G17" s="38">
        <v>120000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169F-69C1-47BD-A20D-E3144FB99959}">
  <dimension ref="A1:G22"/>
  <sheetViews>
    <sheetView workbookViewId="0">
      <selection activeCell="A20" sqref="A20:B20"/>
    </sheetView>
  </sheetViews>
  <sheetFormatPr baseColWidth="10" defaultRowHeight="22.5" customHeight="1" x14ac:dyDescent="0.2"/>
  <cols>
    <col min="1" max="1" width="13.85546875" style="19" customWidth="1"/>
    <col min="2" max="2" width="29.140625" style="19" customWidth="1"/>
    <col min="3" max="3" width="16.28515625" style="19" customWidth="1"/>
    <col min="4" max="4" width="13.28515625" style="19" customWidth="1"/>
    <col min="5" max="5" width="18.42578125" style="19" customWidth="1"/>
    <col min="6" max="6" width="21.5703125" style="19" customWidth="1"/>
    <col min="7" max="7" width="26.42578125" style="19" customWidth="1"/>
    <col min="8" max="16384" width="11.42578125" style="19"/>
  </cols>
  <sheetData>
    <row r="1" spans="1:7" ht="22.5" customHeight="1" x14ac:dyDescent="0.2">
      <c r="A1" s="5" t="s">
        <v>0</v>
      </c>
      <c r="B1" s="5" t="s">
        <v>1</v>
      </c>
      <c r="C1" s="5" t="s">
        <v>129</v>
      </c>
      <c r="D1" s="5" t="s">
        <v>130</v>
      </c>
      <c r="E1" s="5" t="s">
        <v>131</v>
      </c>
      <c r="F1" s="5" t="s">
        <v>132</v>
      </c>
      <c r="G1" s="5" t="s">
        <v>133</v>
      </c>
    </row>
    <row r="2" spans="1:7" ht="22.5" customHeight="1" x14ac:dyDescent="0.2">
      <c r="A2" s="4" t="s">
        <v>44</v>
      </c>
      <c r="B2" s="4" t="s">
        <v>7</v>
      </c>
      <c r="C2" s="19">
        <v>10</v>
      </c>
      <c r="D2" s="19">
        <f>SUMIF(Ventas!E:E,'Inventario '!A2,Ventas!F:F)</f>
        <v>2</v>
      </c>
      <c r="E2" s="19">
        <f>C2-D2</f>
        <v>8</v>
      </c>
      <c r="F2" s="103">
        <f>VLOOKUP(A2,'Ficha de Productos'!A1:G17,6,FALSE)</f>
        <v>30000</v>
      </c>
      <c r="G2" s="103">
        <f>E2*F2</f>
        <v>240000</v>
      </c>
    </row>
    <row r="3" spans="1:7" ht="22.5" customHeight="1" x14ac:dyDescent="0.2">
      <c r="A3" s="4" t="s">
        <v>45</v>
      </c>
      <c r="B3" s="4" t="s">
        <v>11</v>
      </c>
      <c r="C3" s="19">
        <v>10</v>
      </c>
      <c r="D3" s="19">
        <f>SUMIF(Ventas!E:E,'Inventario '!A3,Ventas!F:F)</f>
        <v>0</v>
      </c>
      <c r="E3" s="19">
        <f t="shared" ref="E3:E17" si="0">C3-D3</f>
        <v>10</v>
      </c>
      <c r="F3" s="103">
        <f>VLOOKUP(A3,'Ficha de Productos'!A2:G18,6,FALSE)</f>
        <v>30000</v>
      </c>
      <c r="G3" s="103">
        <f t="shared" ref="G3:G17" si="1">E3*F3</f>
        <v>300000</v>
      </c>
    </row>
    <row r="4" spans="1:7" ht="22.5" customHeight="1" x14ac:dyDescent="0.2">
      <c r="A4" s="4" t="s">
        <v>46</v>
      </c>
      <c r="B4" s="4" t="s">
        <v>14</v>
      </c>
      <c r="C4" s="19">
        <v>10</v>
      </c>
      <c r="D4" s="19">
        <f>SUMIF(Ventas!E:E,'Inventario '!A4,Ventas!F:F)</f>
        <v>0</v>
      </c>
      <c r="E4" s="19">
        <f t="shared" si="0"/>
        <v>10</v>
      </c>
      <c r="F4" s="103">
        <f>VLOOKUP(A4,'Ficha de Productos'!A3:G19,6,FALSE)</f>
        <v>30000</v>
      </c>
      <c r="G4" s="103">
        <f t="shared" si="1"/>
        <v>300000</v>
      </c>
    </row>
    <row r="5" spans="1:7" ht="22.5" customHeight="1" x14ac:dyDescent="0.2">
      <c r="A5" s="4" t="s">
        <v>47</v>
      </c>
      <c r="B5" s="4" t="s">
        <v>15</v>
      </c>
      <c r="C5" s="19">
        <v>10</v>
      </c>
      <c r="D5" s="19">
        <f>SUMIF(Ventas!E:E,'Inventario '!A5,Ventas!F:F)</f>
        <v>3</v>
      </c>
      <c r="E5" s="19">
        <f t="shared" si="0"/>
        <v>7</v>
      </c>
      <c r="F5" s="103">
        <f>VLOOKUP(A5,'Ficha de Productos'!A4:G20,6,FALSE)</f>
        <v>20000</v>
      </c>
      <c r="G5" s="103">
        <f t="shared" si="1"/>
        <v>140000</v>
      </c>
    </row>
    <row r="6" spans="1:7" ht="22.5" customHeight="1" x14ac:dyDescent="0.2">
      <c r="A6" s="4" t="s">
        <v>48</v>
      </c>
      <c r="B6" s="4" t="s">
        <v>16</v>
      </c>
      <c r="C6" s="19">
        <v>10</v>
      </c>
      <c r="D6" s="19">
        <f>SUMIF(Ventas!E:E,'Inventario '!A6,Ventas!F:F)</f>
        <v>2</v>
      </c>
      <c r="E6" s="19">
        <f t="shared" si="0"/>
        <v>8</v>
      </c>
      <c r="F6" s="103">
        <f>VLOOKUP(A6,'Ficha de Productos'!A5:G21,6,FALSE)</f>
        <v>20000</v>
      </c>
      <c r="G6" s="103">
        <f t="shared" si="1"/>
        <v>160000</v>
      </c>
    </row>
    <row r="7" spans="1:7" ht="22.5" customHeight="1" x14ac:dyDescent="0.2">
      <c r="A7" s="4" t="s">
        <v>49</v>
      </c>
      <c r="B7" s="4" t="s">
        <v>17</v>
      </c>
      <c r="C7" s="19">
        <v>10</v>
      </c>
      <c r="D7" s="19">
        <f>SUMIF(Ventas!E:E,'Inventario '!A7,Ventas!F:F)</f>
        <v>0</v>
      </c>
      <c r="E7" s="19">
        <f t="shared" si="0"/>
        <v>10</v>
      </c>
      <c r="F7" s="103">
        <f>VLOOKUP(A7,'Ficha de Productos'!A6:G22,6,FALSE)</f>
        <v>20000</v>
      </c>
      <c r="G7" s="103">
        <f t="shared" si="1"/>
        <v>200000</v>
      </c>
    </row>
    <row r="8" spans="1:7" ht="22.5" customHeight="1" x14ac:dyDescent="0.2">
      <c r="A8" s="4" t="s">
        <v>50</v>
      </c>
      <c r="B8" s="4" t="s">
        <v>25</v>
      </c>
      <c r="C8" s="19">
        <v>10</v>
      </c>
      <c r="D8" s="19">
        <f>SUMIF(Ventas!E:E,'Inventario '!A8,Ventas!F:F)</f>
        <v>2</v>
      </c>
      <c r="E8" s="19">
        <f t="shared" si="0"/>
        <v>8</v>
      </c>
      <c r="F8" s="103">
        <f>VLOOKUP(A8,'Ficha de Productos'!A7:G23,6,FALSE)</f>
        <v>40000</v>
      </c>
      <c r="G8" s="103">
        <f t="shared" si="1"/>
        <v>320000</v>
      </c>
    </row>
    <row r="9" spans="1:7" ht="22.5" customHeight="1" x14ac:dyDescent="0.2">
      <c r="A9" s="4" t="s">
        <v>51</v>
      </c>
      <c r="B9" s="4" t="s">
        <v>27</v>
      </c>
      <c r="C9" s="19">
        <v>10</v>
      </c>
      <c r="D9" s="19">
        <f>SUMIF(Ventas!E:E,'Inventario '!A9,Ventas!F:F)</f>
        <v>0</v>
      </c>
      <c r="E9" s="19">
        <f t="shared" si="0"/>
        <v>10</v>
      </c>
      <c r="F9" s="103">
        <f>VLOOKUP(A9,'Ficha de Productos'!A8:G24,6,FALSE)</f>
        <v>40000</v>
      </c>
      <c r="G9" s="103">
        <f t="shared" si="1"/>
        <v>400000</v>
      </c>
    </row>
    <row r="10" spans="1:7" ht="22.5" customHeight="1" x14ac:dyDescent="0.2">
      <c r="A10" s="4" t="s">
        <v>52</v>
      </c>
      <c r="B10" s="4" t="s">
        <v>26</v>
      </c>
      <c r="C10" s="19">
        <v>10</v>
      </c>
      <c r="D10" s="19">
        <f>SUMIF(Ventas!E:E,'Inventario '!A10,Ventas!F:F)</f>
        <v>1</v>
      </c>
      <c r="E10" s="19">
        <f t="shared" si="0"/>
        <v>9</v>
      </c>
      <c r="F10" s="103">
        <f>VLOOKUP(A10,'Ficha de Productos'!A9:G25,6,FALSE)</f>
        <v>35000</v>
      </c>
      <c r="G10" s="103">
        <f t="shared" si="1"/>
        <v>315000</v>
      </c>
    </row>
    <row r="11" spans="1:7" ht="22.5" customHeight="1" x14ac:dyDescent="0.2">
      <c r="A11" s="4" t="s">
        <v>53</v>
      </c>
      <c r="B11" s="4" t="s">
        <v>31</v>
      </c>
      <c r="C11" s="19">
        <v>10</v>
      </c>
      <c r="D11" s="19">
        <f>SUMIF(Ventas!E:E,'Inventario '!A11,Ventas!F:F)</f>
        <v>1</v>
      </c>
      <c r="E11" s="19">
        <f t="shared" si="0"/>
        <v>9</v>
      </c>
      <c r="F11" s="103">
        <f>VLOOKUP(A11,'Ficha de Productos'!A10:G26,6,FALSE)</f>
        <v>50000</v>
      </c>
      <c r="G11" s="103">
        <f t="shared" si="1"/>
        <v>450000</v>
      </c>
    </row>
    <row r="12" spans="1:7" ht="22.5" customHeight="1" x14ac:dyDescent="0.2">
      <c r="A12" s="4" t="s">
        <v>54</v>
      </c>
      <c r="B12" s="4" t="s">
        <v>32</v>
      </c>
      <c r="C12" s="19">
        <v>10</v>
      </c>
      <c r="D12" s="19">
        <f>SUMIF(Ventas!E:E,'Inventario '!A12,Ventas!F:F)</f>
        <v>0</v>
      </c>
      <c r="E12" s="19">
        <f t="shared" si="0"/>
        <v>10</v>
      </c>
      <c r="F12" s="103">
        <f>VLOOKUP(A12,'Ficha de Productos'!A11:G27,6,FALSE)</f>
        <v>50000</v>
      </c>
      <c r="G12" s="103">
        <f t="shared" si="1"/>
        <v>500000</v>
      </c>
    </row>
    <row r="13" spans="1:7" ht="22.5" customHeight="1" x14ac:dyDescent="0.2">
      <c r="A13" s="4" t="s">
        <v>55</v>
      </c>
      <c r="B13" s="4" t="s">
        <v>33</v>
      </c>
      <c r="C13" s="19">
        <v>10</v>
      </c>
      <c r="D13" s="19">
        <f>SUMIF(Ventas!E:E,'Inventario '!A13,Ventas!F:F)</f>
        <v>2</v>
      </c>
      <c r="E13" s="19">
        <f t="shared" si="0"/>
        <v>8</v>
      </c>
      <c r="F13" s="103">
        <f>VLOOKUP(A13,'Ficha de Productos'!A12:G28,6,FALSE)</f>
        <v>45000</v>
      </c>
      <c r="G13" s="103">
        <f t="shared" si="1"/>
        <v>360000</v>
      </c>
    </row>
    <row r="14" spans="1:7" ht="22.5" customHeight="1" x14ac:dyDescent="0.2">
      <c r="A14" s="4" t="s">
        <v>56</v>
      </c>
      <c r="B14" s="4" t="s">
        <v>36</v>
      </c>
      <c r="C14" s="19">
        <v>10</v>
      </c>
      <c r="D14" s="19">
        <f>SUMIF(Ventas!E:E,'Inventario '!A14,Ventas!F:F)</f>
        <v>1</v>
      </c>
      <c r="E14" s="19">
        <f t="shared" si="0"/>
        <v>9</v>
      </c>
      <c r="F14" s="103">
        <f>VLOOKUP(A14,'Ficha de Productos'!A13:G29,6,FALSE)</f>
        <v>30000</v>
      </c>
      <c r="G14" s="103">
        <f t="shared" si="1"/>
        <v>270000</v>
      </c>
    </row>
    <row r="15" spans="1:7" ht="22.5" customHeight="1" x14ac:dyDescent="0.2">
      <c r="A15" s="4" t="s">
        <v>57</v>
      </c>
      <c r="B15" s="4" t="s">
        <v>38</v>
      </c>
      <c r="C15" s="19">
        <v>10</v>
      </c>
      <c r="D15" s="19">
        <f>SUMIF(Ventas!E:E,'Inventario '!A15,Ventas!F:F)</f>
        <v>0</v>
      </c>
      <c r="E15" s="19">
        <f t="shared" si="0"/>
        <v>10</v>
      </c>
      <c r="F15" s="103">
        <f>VLOOKUP(A15,'Ficha de Productos'!A14:G30,6,FALSE)</f>
        <v>35000</v>
      </c>
      <c r="G15" s="103">
        <f t="shared" si="1"/>
        <v>350000</v>
      </c>
    </row>
    <row r="16" spans="1:7" ht="22.5" customHeight="1" x14ac:dyDescent="0.2">
      <c r="A16" s="4" t="s">
        <v>58</v>
      </c>
      <c r="B16" s="4" t="s">
        <v>39</v>
      </c>
      <c r="C16" s="19">
        <v>10</v>
      </c>
      <c r="D16" s="19">
        <f>SUMIF(Ventas!E:E,'Inventario '!A16,Ventas!F:F)</f>
        <v>2</v>
      </c>
      <c r="E16" s="19">
        <f t="shared" si="0"/>
        <v>8</v>
      </c>
      <c r="F16" s="103">
        <f>VLOOKUP(A16,'Ficha de Productos'!A15:G31,6,FALSE)</f>
        <v>20000</v>
      </c>
      <c r="G16" s="103">
        <f t="shared" si="1"/>
        <v>160000</v>
      </c>
    </row>
    <row r="17" spans="1:7" ht="22.5" customHeight="1" x14ac:dyDescent="0.2">
      <c r="A17" s="4" t="s">
        <v>59</v>
      </c>
      <c r="B17" s="4" t="s">
        <v>40</v>
      </c>
      <c r="C17" s="19">
        <v>10</v>
      </c>
      <c r="D17" s="19">
        <f>SUMIF(Ventas!E:E,'Inventario '!A17,Ventas!F:F)</f>
        <v>1</v>
      </c>
      <c r="E17" s="19">
        <f t="shared" si="0"/>
        <v>9</v>
      </c>
      <c r="F17" s="103">
        <f>VLOOKUP(A17,'Ficha de Productos'!A16:G32,6,FALSE)</f>
        <v>70000</v>
      </c>
      <c r="G17" s="103">
        <f t="shared" si="1"/>
        <v>630000</v>
      </c>
    </row>
    <row r="18" spans="1:7" ht="22.5" customHeight="1" x14ac:dyDescent="0.2">
      <c r="G18" s="21" t="s">
        <v>191</v>
      </c>
    </row>
    <row r="19" spans="1:7" ht="22.5" customHeight="1" x14ac:dyDescent="0.2">
      <c r="A19" s="78" t="s">
        <v>193</v>
      </c>
      <c r="B19" s="78"/>
      <c r="C19" s="78"/>
      <c r="D19" s="78"/>
      <c r="G19" s="103">
        <f>SUM(G2:G17)</f>
        <v>5095000</v>
      </c>
    </row>
    <row r="20" spans="1:7" ht="22.5" customHeight="1" x14ac:dyDescent="0.2">
      <c r="A20" s="66" t="s">
        <v>192</v>
      </c>
      <c r="B20" s="66"/>
      <c r="C20" s="67" t="s">
        <v>44</v>
      </c>
      <c r="D20" s="67"/>
    </row>
    <row r="21" spans="1:7" ht="22.5" customHeight="1" x14ac:dyDescent="0.2">
      <c r="A21" s="64" t="s">
        <v>194</v>
      </c>
      <c r="B21" s="64"/>
      <c r="C21" s="65" t="str">
        <f>VLOOKUP(C20,A1:G17,2,FALSE)</f>
        <v>Abrigo Café Mufon</v>
      </c>
      <c r="D21" s="65"/>
    </row>
    <row r="22" spans="1:7" ht="22.5" customHeight="1" x14ac:dyDescent="0.2">
      <c r="A22" s="64" t="s">
        <v>195</v>
      </c>
      <c r="B22" s="64"/>
      <c r="C22" s="65">
        <f>VLOOKUP(C20,A1:G17,5)</f>
        <v>8</v>
      </c>
      <c r="D22" s="65"/>
    </row>
  </sheetData>
  <mergeCells count="7">
    <mergeCell ref="A19:D19"/>
    <mergeCell ref="A22:B22"/>
    <mergeCell ref="C22:D22"/>
    <mergeCell ref="A20:B20"/>
    <mergeCell ref="A21:B21"/>
    <mergeCell ref="C20:D20"/>
    <mergeCell ref="C21:D2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3883-1A45-4289-B8A6-ABF9398DA7DC}">
  <sheetPr>
    <tabColor theme="1"/>
  </sheetPr>
  <dimension ref="A1:F6"/>
  <sheetViews>
    <sheetView workbookViewId="0">
      <selection activeCell="B13" sqref="B13"/>
    </sheetView>
  </sheetViews>
  <sheetFormatPr baseColWidth="10" defaultColWidth="21.140625" defaultRowHeight="27.75" customHeight="1" x14ac:dyDescent="0.2"/>
  <cols>
    <col min="1" max="1" width="20.85546875" style="1" customWidth="1"/>
    <col min="2" max="5" width="21.140625" style="1"/>
    <col min="6" max="6" width="23.5703125" style="1" customWidth="1"/>
    <col min="7" max="16384" width="21.140625" style="1"/>
  </cols>
  <sheetData>
    <row r="1" spans="1:6" ht="27.75" customHeight="1" x14ac:dyDescent="0.2">
      <c r="A1" s="10" t="s">
        <v>151</v>
      </c>
      <c r="B1" s="10" t="s">
        <v>1</v>
      </c>
      <c r="C1" s="10" t="s">
        <v>168</v>
      </c>
      <c r="D1" s="10" t="s">
        <v>169</v>
      </c>
      <c r="E1" s="10" t="s">
        <v>170</v>
      </c>
      <c r="F1" s="16" t="s">
        <v>203</v>
      </c>
    </row>
    <row r="2" spans="1:6" ht="27.75" customHeight="1" x14ac:dyDescent="0.2">
      <c r="A2" s="34" t="s">
        <v>153</v>
      </c>
      <c r="B2" s="18" t="s">
        <v>154</v>
      </c>
      <c r="C2" s="11" t="s">
        <v>171</v>
      </c>
      <c r="D2" s="18" t="s">
        <v>172</v>
      </c>
      <c r="E2" s="20" t="s">
        <v>186</v>
      </c>
      <c r="F2" s="27">
        <v>46118</v>
      </c>
    </row>
    <row r="3" spans="1:6" ht="27.75" customHeight="1" x14ac:dyDescent="0.2">
      <c r="A3" s="34" t="s">
        <v>156</v>
      </c>
      <c r="B3" s="18" t="s">
        <v>157</v>
      </c>
      <c r="C3" s="11" t="s">
        <v>173</v>
      </c>
      <c r="D3" s="18" t="s">
        <v>174</v>
      </c>
      <c r="E3" s="20" t="s">
        <v>187</v>
      </c>
      <c r="F3" s="27">
        <v>46118</v>
      </c>
    </row>
    <row r="4" spans="1:6" ht="27.75" customHeight="1" x14ac:dyDescent="0.2">
      <c r="A4" s="34" t="s">
        <v>159</v>
      </c>
      <c r="B4" s="18" t="s">
        <v>160</v>
      </c>
      <c r="C4" s="11" t="s">
        <v>175</v>
      </c>
      <c r="D4" s="18" t="s">
        <v>176</v>
      </c>
      <c r="E4" s="20" t="s">
        <v>188</v>
      </c>
      <c r="F4" s="27">
        <v>46119</v>
      </c>
    </row>
    <row r="5" spans="1:6" ht="27.75" customHeight="1" x14ac:dyDescent="0.2">
      <c r="A5" s="34" t="s">
        <v>162</v>
      </c>
      <c r="B5" s="18" t="s">
        <v>163</v>
      </c>
      <c r="C5" s="11" t="s">
        <v>177</v>
      </c>
      <c r="D5" s="18" t="s">
        <v>178</v>
      </c>
      <c r="E5" s="20" t="s">
        <v>189</v>
      </c>
      <c r="F5" s="27">
        <v>46121</v>
      </c>
    </row>
    <row r="6" spans="1:6" ht="27.75" customHeight="1" x14ac:dyDescent="0.2">
      <c r="A6" s="34" t="s">
        <v>165</v>
      </c>
      <c r="B6" s="18" t="s">
        <v>166</v>
      </c>
      <c r="C6" s="11" t="s">
        <v>179</v>
      </c>
      <c r="D6" s="18" t="s">
        <v>180</v>
      </c>
      <c r="E6" s="20" t="s">
        <v>190</v>
      </c>
      <c r="F6" s="27">
        <v>46124</v>
      </c>
    </row>
  </sheetData>
  <hyperlinks>
    <hyperlink ref="E2" r:id="rId1" display="mailto:maria.perez@mail.cl" xr:uid="{5285D9E5-DD30-4A2B-A88D-40EDF2F46BA4}"/>
    <hyperlink ref="E3" r:id="rId2" display="mailto:juan.soto@mail.cl" xr:uid="{3158232F-B6D6-472F-BC41-88373E12EB13}"/>
    <hyperlink ref="E4" r:id="rId3" display="mailto:ana.rojas@mail.cl" xr:uid="{F7240E6C-F032-4FA3-8650-3098AF79A547}"/>
    <hyperlink ref="E5" r:id="rId4" display="mailto:pedro.diaz@mail.cl" xr:uid="{754341FA-66C9-4377-B7D8-D9362668DA98}"/>
    <hyperlink ref="E6" r:id="rId5" display="mailto:sofia.leon@mail.cl" xr:uid="{8BBA5E18-03F3-4595-9CD5-1D81A7EA6223}"/>
  </hyperlinks>
  <pageMargins left="0.7" right="0.7" top="0.75" bottom="0.75" header="0.3" footer="0.3"/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0793-1F0D-4CAA-829E-0978F3D210A2}">
  <sheetPr>
    <tabColor theme="1"/>
  </sheetPr>
  <dimension ref="A1:J13"/>
  <sheetViews>
    <sheetView topLeftCell="D1" workbookViewId="0">
      <selection activeCell="H13" sqref="H13:J13"/>
    </sheetView>
  </sheetViews>
  <sheetFormatPr baseColWidth="10" defaultRowHeight="30" customHeight="1" x14ac:dyDescent="0.2"/>
  <cols>
    <col min="1" max="1" width="14.7109375" style="9" customWidth="1"/>
    <col min="2" max="2" width="12.7109375" style="9" bestFit="1" customWidth="1"/>
    <col min="3" max="3" width="15.42578125" style="9" customWidth="1"/>
    <col min="4" max="4" width="26.7109375" style="9" customWidth="1"/>
    <col min="5" max="5" width="11.42578125" style="9"/>
    <col min="6" max="6" width="14.140625" style="9" customWidth="1"/>
    <col min="7" max="7" width="21.28515625" style="9" customWidth="1"/>
    <col min="8" max="8" width="15.85546875" style="9" customWidth="1"/>
    <col min="9" max="9" width="16.5703125" style="9" customWidth="1"/>
    <col min="10" max="11" width="16.85546875" style="9" customWidth="1"/>
    <col min="12" max="16384" width="11.42578125" style="9"/>
  </cols>
  <sheetData>
    <row r="1" spans="1:10" ht="30" customHeight="1" x14ac:dyDescent="0.2">
      <c r="A1" s="10" t="s">
        <v>167</v>
      </c>
      <c r="B1" s="10" t="s">
        <v>134</v>
      </c>
      <c r="C1" s="10" t="s">
        <v>185</v>
      </c>
      <c r="D1" s="10" t="s">
        <v>137</v>
      </c>
      <c r="E1" s="10" t="s">
        <v>0</v>
      </c>
      <c r="F1" s="10" t="s">
        <v>135</v>
      </c>
      <c r="G1" s="10" t="s">
        <v>181</v>
      </c>
      <c r="H1" s="10" t="s">
        <v>150</v>
      </c>
      <c r="I1" s="10" t="s">
        <v>136</v>
      </c>
      <c r="J1" s="10" t="s">
        <v>146</v>
      </c>
    </row>
    <row r="2" spans="1:10" ht="30" customHeight="1" x14ac:dyDescent="0.2">
      <c r="A2" s="11" t="s">
        <v>152</v>
      </c>
      <c r="B2" s="17">
        <v>46118</v>
      </c>
      <c r="C2" s="11" t="s">
        <v>153</v>
      </c>
      <c r="D2" s="18" t="s">
        <v>7</v>
      </c>
      <c r="E2" s="18" t="s">
        <v>44</v>
      </c>
      <c r="F2" s="11">
        <v>2</v>
      </c>
      <c r="G2" s="90">
        <v>60000</v>
      </c>
      <c r="H2" s="90">
        <f>G2*F2</f>
        <v>120000</v>
      </c>
      <c r="I2" s="90">
        <f>H2*19%</f>
        <v>22800</v>
      </c>
      <c r="J2" s="90">
        <f>SUM(H2,I2)</f>
        <v>142800</v>
      </c>
    </row>
    <row r="3" spans="1:10" ht="30" customHeight="1" x14ac:dyDescent="0.2">
      <c r="A3" s="11" t="s">
        <v>152</v>
      </c>
      <c r="B3" s="17">
        <v>46118</v>
      </c>
      <c r="C3" s="11" t="s">
        <v>153</v>
      </c>
      <c r="D3" s="18" t="s">
        <v>15</v>
      </c>
      <c r="E3" s="18" t="s">
        <v>47</v>
      </c>
      <c r="F3" s="11">
        <v>3</v>
      </c>
      <c r="G3" s="90">
        <v>40000</v>
      </c>
      <c r="H3" s="90">
        <f t="shared" ref="H3:H11" si="0">G3*F3</f>
        <v>120000</v>
      </c>
      <c r="I3" s="90">
        <f t="shared" ref="I3:I11" si="1">H3*19%</f>
        <v>22800</v>
      </c>
      <c r="J3" s="90">
        <f t="shared" ref="J3:J11" si="2">SUM(H3,I3)</f>
        <v>142800</v>
      </c>
    </row>
    <row r="4" spans="1:10" ht="30" customHeight="1" x14ac:dyDescent="0.2">
      <c r="A4" s="11" t="s">
        <v>155</v>
      </c>
      <c r="B4" s="17">
        <v>46118</v>
      </c>
      <c r="C4" s="11" t="s">
        <v>156</v>
      </c>
      <c r="D4" s="18" t="s">
        <v>25</v>
      </c>
      <c r="E4" s="18" t="s">
        <v>50</v>
      </c>
      <c r="F4" s="11">
        <v>2</v>
      </c>
      <c r="G4" s="90">
        <v>60000</v>
      </c>
      <c r="H4" s="90">
        <f t="shared" si="0"/>
        <v>120000</v>
      </c>
      <c r="I4" s="90">
        <f t="shared" si="1"/>
        <v>22800</v>
      </c>
      <c r="J4" s="90">
        <f t="shared" si="2"/>
        <v>142800</v>
      </c>
    </row>
    <row r="5" spans="1:10" ht="30" customHeight="1" x14ac:dyDescent="0.2">
      <c r="A5" s="11" t="s">
        <v>155</v>
      </c>
      <c r="B5" s="17">
        <v>46118</v>
      </c>
      <c r="C5" s="11" t="s">
        <v>156</v>
      </c>
      <c r="D5" s="18" t="s">
        <v>26</v>
      </c>
      <c r="E5" s="18" t="s">
        <v>52</v>
      </c>
      <c r="F5" s="11">
        <v>1</v>
      </c>
      <c r="G5" s="90">
        <v>55000</v>
      </c>
      <c r="H5" s="90">
        <f t="shared" si="0"/>
        <v>55000</v>
      </c>
      <c r="I5" s="90">
        <f t="shared" si="1"/>
        <v>10450</v>
      </c>
      <c r="J5" s="90">
        <f t="shared" si="2"/>
        <v>65450</v>
      </c>
    </row>
    <row r="6" spans="1:10" ht="30" customHeight="1" x14ac:dyDescent="0.2">
      <c r="A6" s="11" t="s">
        <v>158</v>
      </c>
      <c r="B6" s="27">
        <v>46119</v>
      </c>
      <c r="C6" s="11" t="s">
        <v>159</v>
      </c>
      <c r="D6" s="18" t="s">
        <v>31</v>
      </c>
      <c r="E6" s="18" t="s">
        <v>53</v>
      </c>
      <c r="F6" s="11">
        <v>1</v>
      </c>
      <c r="G6" s="90">
        <v>80000</v>
      </c>
      <c r="H6" s="90">
        <f t="shared" si="0"/>
        <v>80000</v>
      </c>
      <c r="I6" s="90">
        <f t="shared" si="1"/>
        <v>15200</v>
      </c>
      <c r="J6" s="90">
        <f t="shared" si="2"/>
        <v>95200</v>
      </c>
    </row>
    <row r="7" spans="1:10" ht="30" customHeight="1" x14ac:dyDescent="0.2">
      <c r="A7" s="11" t="s">
        <v>158</v>
      </c>
      <c r="B7" s="27">
        <v>46119</v>
      </c>
      <c r="C7" s="11" t="s">
        <v>159</v>
      </c>
      <c r="D7" s="18" t="s">
        <v>33</v>
      </c>
      <c r="E7" s="18" t="s">
        <v>55</v>
      </c>
      <c r="F7" s="11">
        <v>2</v>
      </c>
      <c r="G7" s="90">
        <v>70000</v>
      </c>
      <c r="H7" s="90">
        <f t="shared" si="0"/>
        <v>140000</v>
      </c>
      <c r="I7" s="90">
        <f t="shared" si="1"/>
        <v>26600</v>
      </c>
      <c r="J7" s="90">
        <f t="shared" si="2"/>
        <v>166600</v>
      </c>
    </row>
    <row r="8" spans="1:10" ht="30" customHeight="1" x14ac:dyDescent="0.2">
      <c r="A8" s="11" t="s">
        <v>161</v>
      </c>
      <c r="B8" s="27">
        <v>46121</v>
      </c>
      <c r="C8" s="11" t="s">
        <v>162</v>
      </c>
      <c r="D8" s="18" t="s">
        <v>36</v>
      </c>
      <c r="E8" s="18" t="s">
        <v>56</v>
      </c>
      <c r="F8" s="11">
        <v>1</v>
      </c>
      <c r="G8" s="90">
        <v>120000</v>
      </c>
      <c r="H8" s="90">
        <f t="shared" si="0"/>
        <v>120000</v>
      </c>
      <c r="I8" s="90">
        <f t="shared" si="1"/>
        <v>22800</v>
      </c>
      <c r="J8" s="90">
        <f t="shared" si="2"/>
        <v>142800</v>
      </c>
    </row>
    <row r="9" spans="1:10" ht="30" customHeight="1" x14ac:dyDescent="0.2">
      <c r="A9" s="11" t="s">
        <v>161</v>
      </c>
      <c r="B9" s="27">
        <v>46121</v>
      </c>
      <c r="C9" s="11" t="s">
        <v>162</v>
      </c>
      <c r="D9" s="18" t="s">
        <v>39</v>
      </c>
      <c r="E9" s="18" t="s">
        <v>58</v>
      </c>
      <c r="F9" s="11">
        <v>2</v>
      </c>
      <c r="G9" s="90">
        <v>50000</v>
      </c>
      <c r="H9" s="90">
        <f t="shared" si="0"/>
        <v>100000</v>
      </c>
      <c r="I9" s="90">
        <f t="shared" si="1"/>
        <v>19000</v>
      </c>
      <c r="J9" s="90">
        <f t="shared" si="2"/>
        <v>119000</v>
      </c>
    </row>
    <row r="10" spans="1:10" ht="30" customHeight="1" x14ac:dyDescent="0.2">
      <c r="A10" s="11" t="s">
        <v>164</v>
      </c>
      <c r="B10" s="27">
        <v>46124</v>
      </c>
      <c r="C10" s="11" t="s">
        <v>165</v>
      </c>
      <c r="D10" s="18" t="s">
        <v>40</v>
      </c>
      <c r="E10" s="18" t="s">
        <v>59</v>
      </c>
      <c r="F10" s="11">
        <v>1</v>
      </c>
      <c r="G10" s="90">
        <v>120000</v>
      </c>
      <c r="H10" s="90">
        <f t="shared" si="0"/>
        <v>120000</v>
      </c>
      <c r="I10" s="90">
        <f t="shared" si="1"/>
        <v>22800</v>
      </c>
      <c r="J10" s="90">
        <f t="shared" si="2"/>
        <v>142800</v>
      </c>
    </row>
    <row r="11" spans="1:10" ht="30" customHeight="1" x14ac:dyDescent="0.2">
      <c r="A11" s="11" t="s">
        <v>164</v>
      </c>
      <c r="B11" s="27">
        <v>46124</v>
      </c>
      <c r="C11" s="11" t="s">
        <v>165</v>
      </c>
      <c r="D11" s="18" t="s">
        <v>16</v>
      </c>
      <c r="E11" s="18" t="s">
        <v>48</v>
      </c>
      <c r="F11" s="11">
        <v>2</v>
      </c>
      <c r="G11" s="90">
        <v>40000</v>
      </c>
      <c r="H11" s="90">
        <f t="shared" si="0"/>
        <v>80000</v>
      </c>
      <c r="I11" s="90">
        <f t="shared" si="1"/>
        <v>15200</v>
      </c>
      <c r="J11" s="90">
        <f t="shared" si="2"/>
        <v>95200</v>
      </c>
    </row>
    <row r="12" spans="1:10" ht="30" customHeight="1" x14ac:dyDescent="0.2">
      <c r="H12" s="16" t="s">
        <v>184</v>
      </c>
      <c r="I12" s="16" t="s">
        <v>182</v>
      </c>
      <c r="J12" s="16" t="s">
        <v>183</v>
      </c>
    </row>
    <row r="13" spans="1:10" ht="30" customHeight="1" x14ac:dyDescent="0.2">
      <c r="H13" s="103">
        <f>SUM(H2:H11)</f>
        <v>1055000</v>
      </c>
      <c r="I13" s="103">
        <f>SUM(I2:I11)</f>
        <v>200450</v>
      </c>
      <c r="J13" s="103">
        <f>SUM(J2:J11)</f>
        <v>1255450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6F7A-0DE6-4286-8F5F-653DA7A4DB89}">
  <sheetPr>
    <tabColor theme="1"/>
  </sheetPr>
  <dimension ref="A1:G74"/>
  <sheetViews>
    <sheetView zoomScaleNormal="100" workbookViewId="0">
      <selection activeCell="C73" sqref="C73"/>
    </sheetView>
  </sheetViews>
  <sheetFormatPr baseColWidth="10" defaultRowHeight="14.25" x14ac:dyDescent="0.25"/>
  <cols>
    <col min="1" max="1" width="18.5703125" style="4" customWidth="1"/>
    <col min="2" max="2" width="22.85546875" style="49" customWidth="1"/>
    <col min="3" max="3" width="15.28515625" style="49" customWidth="1"/>
    <col min="4" max="4" width="19" style="49" customWidth="1"/>
    <col min="5" max="5" width="27.140625" style="49" customWidth="1"/>
    <col min="6" max="6" width="11.42578125" style="49"/>
    <col min="7" max="7" width="19.42578125" style="49" customWidth="1"/>
    <col min="8" max="16384" width="11.42578125" style="49"/>
  </cols>
  <sheetData>
    <row r="1" spans="1:7" ht="30" customHeight="1" x14ac:dyDescent="0.25">
      <c r="A1" s="68" t="s">
        <v>264</v>
      </c>
      <c r="B1" s="68"/>
      <c r="C1" s="68"/>
      <c r="D1" s="68"/>
      <c r="E1" s="68"/>
      <c r="F1" s="68"/>
      <c r="G1" s="68"/>
    </row>
    <row r="2" spans="1:7" s="51" customFormat="1" ht="17.25" customHeight="1" x14ac:dyDescent="0.25">
      <c r="A2" s="79" t="s">
        <v>237</v>
      </c>
      <c r="B2" s="79"/>
      <c r="C2" s="79"/>
      <c r="D2" s="79"/>
      <c r="E2" s="79"/>
      <c r="F2" s="79"/>
      <c r="G2" s="79"/>
    </row>
    <row r="3" spans="1:7" x14ac:dyDescent="0.25">
      <c r="A3" s="56" t="s">
        <v>231</v>
      </c>
      <c r="B3" s="81" t="s">
        <v>152</v>
      </c>
      <c r="C3" s="81"/>
      <c r="D3" s="58" t="s">
        <v>233</v>
      </c>
      <c r="E3" s="83" t="str">
        <f>VLOOKUP(B5,Clientes!A1:F6,2,FALSE)</f>
        <v>María Pérez</v>
      </c>
      <c r="F3" s="83"/>
      <c r="G3" s="83"/>
    </row>
    <row r="4" spans="1:7" x14ac:dyDescent="0.25">
      <c r="A4" s="56" t="s">
        <v>202</v>
      </c>
      <c r="B4" s="82">
        <f>VLOOKUP(B3,Ventas!A1:J11,2,FALSE)</f>
        <v>46118</v>
      </c>
      <c r="C4" s="82"/>
      <c r="D4" s="58" t="s">
        <v>234</v>
      </c>
      <c r="E4" s="83" t="str">
        <f>VLOOKUP(B5,Clientes!A2:F7,3,FALSE)</f>
        <v>12.345.678-9</v>
      </c>
      <c r="F4" s="83"/>
      <c r="G4" s="83"/>
    </row>
    <row r="5" spans="1:7" x14ac:dyDescent="0.25">
      <c r="A5" s="56" t="s">
        <v>185</v>
      </c>
      <c r="B5" s="82" t="str">
        <f>VLOOKUP(B3,Ventas!A1:J11,3,FALSE)</f>
        <v>CL001</v>
      </c>
      <c r="C5" s="82"/>
      <c r="D5" s="58" t="s">
        <v>235</v>
      </c>
      <c r="E5" s="83" t="str">
        <f>VLOOKUP(B5,Clientes!A1:F6,4,FALSE)</f>
        <v>Santiago</v>
      </c>
      <c r="F5" s="83"/>
      <c r="G5" s="83"/>
    </row>
    <row r="6" spans="1:7" x14ac:dyDescent="0.25">
      <c r="A6" s="56" t="s">
        <v>269</v>
      </c>
      <c r="B6" s="83" t="s">
        <v>125</v>
      </c>
      <c r="C6" s="83"/>
      <c r="D6" s="58" t="s">
        <v>236</v>
      </c>
      <c r="E6" s="83" t="str">
        <f>VLOOKUP(B5,Clientes!A2:F7,5,FALSE)</f>
        <v>maria.perez@mail.cl</v>
      </c>
      <c r="F6" s="83"/>
      <c r="G6" s="83"/>
    </row>
    <row r="7" spans="1:7" x14ac:dyDescent="0.25">
      <c r="A7" s="79" t="s">
        <v>232</v>
      </c>
      <c r="B7" s="79"/>
      <c r="C7" s="79"/>
      <c r="D7" s="79"/>
      <c r="E7" s="79"/>
      <c r="F7" s="79"/>
      <c r="G7" s="79"/>
    </row>
    <row r="8" spans="1:7" x14ac:dyDescent="0.25">
      <c r="A8" s="95" t="s">
        <v>0</v>
      </c>
      <c r="B8" s="95" t="s">
        <v>137</v>
      </c>
      <c r="C8" s="95" t="s">
        <v>135</v>
      </c>
      <c r="D8" s="95" t="s">
        <v>181</v>
      </c>
      <c r="E8" s="95" t="s">
        <v>150</v>
      </c>
      <c r="F8" s="95" t="s">
        <v>136</v>
      </c>
      <c r="G8" s="95" t="s">
        <v>146</v>
      </c>
    </row>
    <row r="9" spans="1:7" x14ac:dyDescent="0.25">
      <c r="A9" s="60" t="s">
        <v>44</v>
      </c>
      <c r="B9" s="60" t="s">
        <v>7</v>
      </c>
      <c r="C9" s="61">
        <v>2</v>
      </c>
      <c r="D9" s="84">
        <v>60000</v>
      </c>
      <c r="E9" s="84">
        <f>D9*C9</f>
        <v>120000</v>
      </c>
      <c r="F9" s="84">
        <f>E9*19%</f>
        <v>22800</v>
      </c>
      <c r="G9" s="84">
        <f>SUM(E9,F9)</f>
        <v>142800</v>
      </c>
    </row>
    <row r="10" spans="1:7" x14ac:dyDescent="0.25">
      <c r="A10" s="60" t="s">
        <v>47</v>
      </c>
      <c r="B10" s="60" t="s">
        <v>15</v>
      </c>
      <c r="C10" s="61">
        <v>3</v>
      </c>
      <c r="D10" s="84">
        <v>40000</v>
      </c>
      <c r="E10" s="84">
        <f t="shared" ref="E10" si="0">D10*C10</f>
        <v>120000</v>
      </c>
      <c r="F10" s="84">
        <f t="shared" ref="F10" si="1">E10*19%</f>
        <v>22800</v>
      </c>
      <c r="G10" s="84">
        <f t="shared" ref="G10" si="2">SUM(E10,F10)</f>
        <v>142800</v>
      </c>
    </row>
    <row r="11" spans="1:7" x14ac:dyDescent="0.25">
      <c r="A11" s="8"/>
      <c r="B11" s="54"/>
      <c r="C11" s="54"/>
      <c r="D11" s="54"/>
      <c r="E11" s="54"/>
      <c r="F11" s="54"/>
      <c r="G11" s="54"/>
    </row>
    <row r="12" spans="1:7" x14ac:dyDescent="0.25">
      <c r="A12" s="56" t="s">
        <v>184</v>
      </c>
      <c r="B12" s="85">
        <f>SUM(E9:E10)</f>
        <v>240000</v>
      </c>
      <c r="C12" s="54"/>
      <c r="D12" s="54"/>
      <c r="E12" s="58" t="s">
        <v>240</v>
      </c>
      <c r="F12" s="69"/>
      <c r="G12" s="69"/>
    </row>
    <row r="13" spans="1:7" x14ac:dyDescent="0.25">
      <c r="A13" s="56" t="s">
        <v>238</v>
      </c>
      <c r="B13" s="85">
        <f>SUM(F9:F10)</f>
        <v>45600</v>
      </c>
      <c r="C13" s="54"/>
      <c r="D13" s="54"/>
      <c r="E13" s="69" t="s">
        <v>241</v>
      </c>
      <c r="F13" s="69"/>
      <c r="G13" s="69"/>
    </row>
    <row r="14" spans="1:7" x14ac:dyDescent="0.25">
      <c r="A14" s="56" t="s">
        <v>239</v>
      </c>
      <c r="B14" s="85">
        <f>SUM(B12:B13)</f>
        <v>285600</v>
      </c>
      <c r="C14" s="54"/>
      <c r="D14" s="54"/>
      <c r="E14" s="69"/>
      <c r="F14" s="69"/>
      <c r="G14" s="69"/>
    </row>
    <row r="16" spans="1:7" ht="32.25" customHeight="1" x14ac:dyDescent="0.25">
      <c r="A16" s="68" t="s">
        <v>265</v>
      </c>
      <c r="B16" s="68"/>
      <c r="C16" s="68"/>
      <c r="D16" s="68"/>
      <c r="E16" s="68"/>
      <c r="F16" s="68"/>
      <c r="G16" s="68"/>
    </row>
    <row r="17" spans="1:7" x14ac:dyDescent="0.25">
      <c r="A17" s="80" t="s">
        <v>237</v>
      </c>
      <c r="B17" s="80"/>
      <c r="C17" s="80"/>
      <c r="D17" s="80"/>
      <c r="E17" s="80"/>
      <c r="F17" s="80"/>
      <c r="G17" s="80"/>
    </row>
    <row r="18" spans="1:7" x14ac:dyDescent="0.25">
      <c r="A18" s="53" t="s">
        <v>231</v>
      </c>
      <c r="B18" s="86" t="s">
        <v>155</v>
      </c>
      <c r="C18" s="86"/>
      <c r="D18" s="50" t="s">
        <v>233</v>
      </c>
      <c r="E18" s="89" t="str">
        <f>VLOOKUP(B$20,Clientes!A1:F6,2,FALSE)</f>
        <v>Juan Soto</v>
      </c>
      <c r="F18" s="89"/>
      <c r="G18" s="89"/>
    </row>
    <row r="19" spans="1:7" x14ac:dyDescent="0.25">
      <c r="A19" s="53" t="s">
        <v>202</v>
      </c>
      <c r="B19" s="87">
        <v>46118</v>
      </c>
      <c r="C19" s="87"/>
      <c r="D19" s="50" t="s">
        <v>234</v>
      </c>
      <c r="E19" s="89" t="str">
        <f>VLOOKUP(B$20,Clientes!A2:F7,3,FALSE)</f>
        <v>13.456.789-0</v>
      </c>
      <c r="F19" s="89"/>
      <c r="G19" s="89"/>
    </row>
    <row r="20" spans="1:7" x14ac:dyDescent="0.25">
      <c r="A20" s="53" t="s">
        <v>185</v>
      </c>
      <c r="B20" s="88" t="s">
        <v>156</v>
      </c>
      <c r="C20" s="88"/>
      <c r="D20" s="50" t="s">
        <v>235</v>
      </c>
      <c r="E20" s="89" t="str">
        <f>VLOOKUP(B$20,Clientes!A3:F8,4,FALSE)</f>
        <v>Providencia</v>
      </c>
      <c r="F20" s="89"/>
      <c r="G20" s="89"/>
    </row>
    <row r="21" spans="1:7" x14ac:dyDescent="0.25">
      <c r="A21" s="53" t="s">
        <v>269</v>
      </c>
      <c r="B21" s="89" t="s">
        <v>125</v>
      </c>
      <c r="C21" s="89"/>
      <c r="D21" s="50" t="s">
        <v>236</v>
      </c>
      <c r="E21" s="89" t="str">
        <f>VLOOKUP(B20,Clientes!A1:F6,5,FALSE)</f>
        <v>juan.soto@mail.cl</v>
      </c>
      <c r="F21" s="89"/>
      <c r="G21" s="89"/>
    </row>
    <row r="22" spans="1:7" x14ac:dyDescent="0.25">
      <c r="A22" s="80" t="s">
        <v>232</v>
      </c>
      <c r="B22" s="80"/>
      <c r="C22" s="80"/>
      <c r="D22" s="80"/>
      <c r="E22" s="80"/>
      <c r="F22" s="80"/>
      <c r="G22" s="80"/>
    </row>
    <row r="23" spans="1:7" x14ac:dyDescent="0.25">
      <c r="A23" s="45" t="s">
        <v>137</v>
      </c>
      <c r="B23" s="45" t="s">
        <v>0</v>
      </c>
      <c r="C23" s="45" t="s">
        <v>135</v>
      </c>
      <c r="D23" s="45" t="s">
        <v>181</v>
      </c>
      <c r="E23" s="45" t="s">
        <v>150</v>
      </c>
      <c r="F23" s="45" t="s">
        <v>136</v>
      </c>
      <c r="G23" s="45" t="s">
        <v>146</v>
      </c>
    </row>
    <row r="24" spans="1:7" x14ac:dyDescent="0.25">
      <c r="A24" s="18" t="s">
        <v>25</v>
      </c>
      <c r="B24" s="18" t="s">
        <v>50</v>
      </c>
      <c r="C24" s="33">
        <v>2</v>
      </c>
      <c r="D24" s="90">
        <v>60000</v>
      </c>
      <c r="E24" s="90">
        <f t="shared" ref="E24:E25" si="3">D24*C24</f>
        <v>120000</v>
      </c>
      <c r="F24" s="90">
        <f t="shared" ref="F24:F25" si="4">E24*19%</f>
        <v>22800</v>
      </c>
      <c r="G24" s="90">
        <f t="shared" ref="G24:G25" si="5">SUM(E24,F24)</f>
        <v>142800</v>
      </c>
    </row>
    <row r="25" spans="1:7" x14ac:dyDescent="0.25">
      <c r="A25" s="18" t="s">
        <v>26</v>
      </c>
      <c r="B25" s="18" t="s">
        <v>52</v>
      </c>
      <c r="C25" s="33">
        <v>1</v>
      </c>
      <c r="D25" s="90">
        <v>55000</v>
      </c>
      <c r="E25" s="90">
        <f t="shared" si="3"/>
        <v>55000</v>
      </c>
      <c r="F25" s="90">
        <f t="shared" si="4"/>
        <v>10450</v>
      </c>
      <c r="G25" s="90">
        <f t="shared" si="5"/>
        <v>65450</v>
      </c>
    </row>
    <row r="27" spans="1:7" x14ac:dyDescent="0.25">
      <c r="A27" s="53" t="s">
        <v>184</v>
      </c>
      <c r="B27" s="92">
        <f>SUM(E24:E25)</f>
        <v>175000</v>
      </c>
      <c r="E27" s="91" t="s">
        <v>240</v>
      </c>
      <c r="F27" s="91"/>
      <c r="G27" s="91"/>
    </row>
    <row r="28" spans="1:7" x14ac:dyDescent="0.25">
      <c r="A28" s="56" t="s">
        <v>238</v>
      </c>
      <c r="B28" s="85">
        <f>SUM(F24:F25)</f>
        <v>33250</v>
      </c>
      <c r="C28" s="54"/>
      <c r="D28" s="54"/>
      <c r="E28" s="69" t="s">
        <v>241</v>
      </c>
      <c r="F28" s="69"/>
      <c r="G28" s="69"/>
    </row>
    <row r="29" spans="1:7" x14ac:dyDescent="0.25">
      <c r="A29" s="56" t="s">
        <v>239</v>
      </c>
      <c r="B29" s="85">
        <f>SUM(B27:B28)</f>
        <v>208250</v>
      </c>
      <c r="C29" s="54"/>
      <c r="D29" s="54"/>
      <c r="E29" s="69"/>
      <c r="F29" s="69"/>
      <c r="G29" s="69"/>
    </row>
    <row r="31" spans="1:7" ht="27" customHeight="1" x14ac:dyDescent="0.25">
      <c r="A31" s="68" t="s">
        <v>266</v>
      </c>
      <c r="B31" s="68"/>
      <c r="C31" s="68"/>
      <c r="D31" s="68"/>
      <c r="E31" s="68"/>
      <c r="F31" s="68"/>
      <c r="G31" s="68"/>
    </row>
    <row r="32" spans="1:7" x14ac:dyDescent="0.25">
      <c r="A32" s="80" t="s">
        <v>237</v>
      </c>
      <c r="B32" s="80"/>
      <c r="C32" s="80"/>
      <c r="D32" s="80"/>
      <c r="E32" s="80"/>
      <c r="F32" s="80"/>
      <c r="G32" s="80"/>
    </row>
    <row r="33" spans="1:7" x14ac:dyDescent="0.25">
      <c r="A33" s="53" t="s">
        <v>231</v>
      </c>
      <c r="B33" s="86" t="s">
        <v>158</v>
      </c>
      <c r="C33" s="86"/>
      <c r="D33" s="50" t="s">
        <v>233</v>
      </c>
      <c r="E33" s="89" t="str">
        <f>VLOOKUP(B$35,Clientes!A1:F6,2,FALSE)</f>
        <v>Ana Rojas</v>
      </c>
      <c r="F33" s="89"/>
      <c r="G33" s="89"/>
    </row>
    <row r="34" spans="1:7" x14ac:dyDescent="0.25">
      <c r="A34" s="53" t="s">
        <v>202</v>
      </c>
      <c r="B34" s="94">
        <v>46119</v>
      </c>
      <c r="C34" s="94"/>
      <c r="D34" s="50" t="s">
        <v>234</v>
      </c>
      <c r="E34" s="89" t="str">
        <f>VLOOKUP(B$35,Clientes!A2:F7,3,FALSE)</f>
        <v>14.567.890-1</v>
      </c>
      <c r="F34" s="89"/>
      <c r="G34" s="89"/>
    </row>
    <row r="35" spans="1:7" x14ac:dyDescent="0.25">
      <c r="A35" s="53" t="s">
        <v>185</v>
      </c>
      <c r="B35" s="88" t="s">
        <v>159</v>
      </c>
      <c r="C35" s="88"/>
      <c r="D35" s="50" t="s">
        <v>235</v>
      </c>
      <c r="E35" s="89" t="str">
        <f>VLOOKUP(B$35,Clientes!A3:F8,4,FALSE)</f>
        <v>Ñuñoa</v>
      </c>
      <c r="F35" s="89"/>
      <c r="G35" s="89"/>
    </row>
    <row r="36" spans="1:7" x14ac:dyDescent="0.25">
      <c r="A36" s="53" t="s">
        <v>269</v>
      </c>
      <c r="B36" s="89" t="s">
        <v>125</v>
      </c>
      <c r="C36" s="89"/>
      <c r="D36" s="50" t="s">
        <v>236</v>
      </c>
      <c r="E36" s="89" t="str">
        <f>VLOOKUP(B$35,Clientes!A4:F9,5,FALSE)</f>
        <v>ana.rojas@mail.cl</v>
      </c>
      <c r="F36" s="89"/>
      <c r="G36" s="89"/>
    </row>
    <row r="37" spans="1:7" x14ac:dyDescent="0.25">
      <c r="A37" s="80" t="s">
        <v>232</v>
      </c>
      <c r="B37" s="80"/>
      <c r="C37" s="80"/>
      <c r="D37" s="80"/>
      <c r="E37" s="80"/>
      <c r="F37" s="80"/>
      <c r="G37" s="80"/>
    </row>
    <row r="38" spans="1:7" x14ac:dyDescent="0.25">
      <c r="A38" s="45" t="s">
        <v>137</v>
      </c>
      <c r="B38" s="45" t="s">
        <v>0</v>
      </c>
      <c r="C38" s="45" t="s">
        <v>135</v>
      </c>
      <c r="D38" s="45" t="s">
        <v>181</v>
      </c>
      <c r="E38" s="45" t="s">
        <v>150</v>
      </c>
      <c r="F38" s="45" t="s">
        <v>136</v>
      </c>
      <c r="G38" s="45" t="s">
        <v>146</v>
      </c>
    </row>
    <row r="39" spans="1:7" x14ac:dyDescent="0.25">
      <c r="A39" s="18" t="s">
        <v>31</v>
      </c>
      <c r="B39" s="18" t="s">
        <v>53</v>
      </c>
      <c r="C39" s="33">
        <v>1</v>
      </c>
      <c r="D39" s="90">
        <v>80000</v>
      </c>
      <c r="E39" s="90">
        <f t="shared" ref="E39:E40" si="6">D39*C39</f>
        <v>80000</v>
      </c>
      <c r="F39" s="90">
        <f t="shared" ref="F39:F40" si="7">E39*19%</f>
        <v>15200</v>
      </c>
      <c r="G39" s="90">
        <f t="shared" ref="G39:G40" si="8">SUM(E39,F39)</f>
        <v>95200</v>
      </c>
    </row>
    <row r="40" spans="1:7" x14ac:dyDescent="0.25">
      <c r="A40" s="18" t="s">
        <v>33</v>
      </c>
      <c r="B40" s="18" t="s">
        <v>55</v>
      </c>
      <c r="C40" s="33">
        <v>2</v>
      </c>
      <c r="D40" s="90">
        <v>70000</v>
      </c>
      <c r="E40" s="90">
        <f t="shared" si="6"/>
        <v>140000</v>
      </c>
      <c r="F40" s="90">
        <f t="shared" si="7"/>
        <v>26600</v>
      </c>
      <c r="G40" s="90">
        <f t="shared" si="8"/>
        <v>166600</v>
      </c>
    </row>
    <row r="42" spans="1:7" x14ac:dyDescent="0.25">
      <c r="A42" s="53" t="s">
        <v>184</v>
      </c>
      <c r="B42" s="92">
        <f>SUM(E39:E40)</f>
        <v>220000</v>
      </c>
      <c r="E42" s="91" t="s">
        <v>240</v>
      </c>
      <c r="F42" s="91"/>
      <c r="G42" s="91"/>
    </row>
    <row r="43" spans="1:7" x14ac:dyDescent="0.25">
      <c r="A43" s="56" t="s">
        <v>238</v>
      </c>
      <c r="B43" s="85">
        <f>SUM(F39:F40)</f>
        <v>41800</v>
      </c>
      <c r="C43" s="54"/>
      <c r="D43" s="54"/>
      <c r="E43" s="69" t="s">
        <v>241</v>
      </c>
      <c r="F43" s="69"/>
      <c r="G43" s="69"/>
    </row>
    <row r="44" spans="1:7" x14ac:dyDescent="0.25">
      <c r="A44" s="56" t="s">
        <v>239</v>
      </c>
      <c r="B44" s="85">
        <f>SUM(B42:B43)</f>
        <v>261800</v>
      </c>
      <c r="C44" s="54"/>
      <c r="D44" s="54"/>
      <c r="E44" s="69"/>
      <c r="F44" s="69"/>
      <c r="G44" s="69"/>
    </row>
    <row r="46" spans="1:7" ht="26.25" customHeight="1" x14ac:dyDescent="0.25">
      <c r="A46" s="68" t="s">
        <v>267</v>
      </c>
      <c r="B46" s="68"/>
      <c r="C46" s="68"/>
      <c r="D46" s="68"/>
      <c r="E46" s="68"/>
      <c r="F46" s="68"/>
      <c r="G46" s="68"/>
    </row>
    <row r="47" spans="1:7" x14ac:dyDescent="0.25">
      <c r="A47" s="93" t="s">
        <v>237</v>
      </c>
      <c r="B47" s="93"/>
      <c r="C47" s="93"/>
      <c r="D47" s="93"/>
      <c r="E47" s="93"/>
      <c r="F47" s="93"/>
      <c r="G47" s="93"/>
    </row>
    <row r="48" spans="1:7" x14ac:dyDescent="0.25">
      <c r="A48" s="53" t="s">
        <v>231</v>
      </c>
      <c r="B48" s="86" t="s">
        <v>161</v>
      </c>
      <c r="C48" s="86"/>
      <c r="D48" s="50" t="s">
        <v>233</v>
      </c>
      <c r="E48" s="89" t="str">
        <f>VLOOKUP(B$50,Clientes!A1:F6,2,FALSE)</f>
        <v>Pedro Díaz</v>
      </c>
      <c r="F48" s="89"/>
      <c r="G48" s="89"/>
    </row>
    <row r="49" spans="1:7" x14ac:dyDescent="0.25">
      <c r="A49" s="53" t="s">
        <v>202</v>
      </c>
      <c r="B49" s="94">
        <v>46121</v>
      </c>
      <c r="C49" s="94"/>
      <c r="D49" s="50" t="s">
        <v>234</v>
      </c>
      <c r="E49" s="89" t="str">
        <f>VLOOKUP(B$50,Clientes!A2:F7,3,FALSE)</f>
        <v>15.678.901-2</v>
      </c>
      <c r="F49" s="89"/>
      <c r="G49" s="89"/>
    </row>
    <row r="50" spans="1:7" x14ac:dyDescent="0.25">
      <c r="A50" s="53" t="s">
        <v>185</v>
      </c>
      <c r="B50" s="88" t="s">
        <v>162</v>
      </c>
      <c r="C50" s="88"/>
      <c r="D50" s="50" t="s">
        <v>235</v>
      </c>
      <c r="E50" s="89" t="str">
        <f>VLOOKUP(B$50,Clientes!A3:F8,4,FALSE)</f>
        <v>Maipú</v>
      </c>
      <c r="F50" s="89"/>
      <c r="G50" s="89"/>
    </row>
    <row r="51" spans="1:7" x14ac:dyDescent="0.25">
      <c r="A51" s="53" t="s">
        <v>269</v>
      </c>
      <c r="B51" s="89" t="s">
        <v>125</v>
      </c>
      <c r="C51" s="89"/>
      <c r="D51" s="50" t="s">
        <v>236</v>
      </c>
      <c r="E51" s="89" t="str">
        <f>VLOOKUP(B$50,Clientes!A4:F9,5,FALSE)</f>
        <v>pedro.diaz@mail.cl</v>
      </c>
      <c r="F51" s="89"/>
      <c r="G51" s="89"/>
    </row>
    <row r="52" spans="1:7" x14ac:dyDescent="0.25">
      <c r="A52" s="93" t="s">
        <v>232</v>
      </c>
      <c r="B52" s="93"/>
      <c r="C52" s="93"/>
      <c r="D52" s="93"/>
      <c r="E52" s="93"/>
      <c r="F52" s="93"/>
      <c r="G52" s="93"/>
    </row>
    <row r="53" spans="1:7" x14ac:dyDescent="0.25">
      <c r="A53" s="45" t="s">
        <v>137</v>
      </c>
      <c r="B53" s="45" t="s">
        <v>0</v>
      </c>
      <c r="C53" s="45" t="s">
        <v>135</v>
      </c>
      <c r="D53" s="45" t="s">
        <v>181</v>
      </c>
      <c r="E53" s="45" t="s">
        <v>150</v>
      </c>
      <c r="F53" s="45" t="s">
        <v>136</v>
      </c>
      <c r="G53" s="45" t="s">
        <v>146</v>
      </c>
    </row>
    <row r="54" spans="1:7" x14ac:dyDescent="0.25">
      <c r="A54" s="18" t="s">
        <v>36</v>
      </c>
      <c r="B54" s="18" t="s">
        <v>56</v>
      </c>
      <c r="C54" s="33">
        <v>1</v>
      </c>
      <c r="D54" s="90">
        <v>120000</v>
      </c>
      <c r="E54" s="90">
        <f t="shared" ref="E54:E55" si="9">D54*C54</f>
        <v>120000</v>
      </c>
      <c r="F54" s="90">
        <f t="shared" ref="F54:F55" si="10">E54*19%</f>
        <v>22800</v>
      </c>
      <c r="G54" s="90">
        <f t="shared" ref="G54:G55" si="11">SUM(E54,F54)</f>
        <v>142800</v>
      </c>
    </row>
    <row r="55" spans="1:7" x14ac:dyDescent="0.25">
      <c r="A55" s="18" t="s">
        <v>39</v>
      </c>
      <c r="B55" s="18" t="s">
        <v>58</v>
      </c>
      <c r="C55" s="33">
        <v>2</v>
      </c>
      <c r="D55" s="90">
        <v>50000</v>
      </c>
      <c r="E55" s="90">
        <f t="shared" si="9"/>
        <v>100000</v>
      </c>
      <c r="F55" s="90">
        <f t="shared" si="10"/>
        <v>19000</v>
      </c>
      <c r="G55" s="90">
        <f t="shared" si="11"/>
        <v>119000</v>
      </c>
    </row>
    <row r="57" spans="1:7" x14ac:dyDescent="0.25">
      <c r="A57" s="56" t="s">
        <v>184</v>
      </c>
      <c r="B57" s="85">
        <f>SUM(E54:E55)</f>
        <v>220000</v>
      </c>
      <c r="C57" s="54"/>
      <c r="D57" s="54"/>
      <c r="E57" s="97" t="s">
        <v>240</v>
      </c>
      <c r="F57" s="97"/>
      <c r="G57" s="97"/>
    </row>
    <row r="58" spans="1:7" x14ac:dyDescent="0.25">
      <c r="A58" s="56" t="s">
        <v>238</v>
      </c>
      <c r="B58" s="85">
        <f>SUM(F54:F55)</f>
        <v>41800</v>
      </c>
      <c r="C58" s="54"/>
      <c r="D58" s="54"/>
      <c r="E58" s="69" t="s">
        <v>241</v>
      </c>
      <c r="F58" s="69"/>
      <c r="G58" s="69"/>
    </row>
    <row r="59" spans="1:7" x14ac:dyDescent="0.25">
      <c r="A59" s="56" t="s">
        <v>239</v>
      </c>
      <c r="B59" s="85">
        <f>SUM(B57:B58)</f>
        <v>261800</v>
      </c>
      <c r="C59" s="54"/>
      <c r="D59" s="54"/>
      <c r="E59" s="69"/>
      <c r="F59" s="69"/>
      <c r="G59" s="69"/>
    </row>
    <row r="61" spans="1:7" ht="15.75" x14ac:dyDescent="0.25">
      <c r="A61" s="68" t="s">
        <v>268</v>
      </c>
      <c r="B61" s="68"/>
      <c r="C61" s="68"/>
      <c r="D61" s="68"/>
      <c r="E61" s="68"/>
      <c r="F61" s="68"/>
      <c r="G61" s="68"/>
    </row>
    <row r="62" spans="1:7" x14ac:dyDescent="0.25">
      <c r="A62" s="80" t="s">
        <v>237</v>
      </c>
      <c r="B62" s="80"/>
      <c r="C62" s="80"/>
      <c r="D62" s="80"/>
      <c r="E62" s="80"/>
      <c r="F62" s="80"/>
      <c r="G62" s="80"/>
    </row>
    <row r="63" spans="1:7" x14ac:dyDescent="0.25">
      <c r="A63" s="53" t="s">
        <v>231</v>
      </c>
      <c r="B63" s="86" t="s">
        <v>164</v>
      </c>
      <c r="C63" s="86"/>
      <c r="D63" s="50" t="s">
        <v>233</v>
      </c>
      <c r="E63" s="89" t="str">
        <f>VLOOKUP(B$65,Clientes!A1:F6,2,FALSE)</f>
        <v>Sofía León</v>
      </c>
      <c r="F63" s="89"/>
      <c r="G63" s="89"/>
    </row>
    <row r="64" spans="1:7" x14ac:dyDescent="0.25">
      <c r="A64" s="53" t="s">
        <v>202</v>
      </c>
      <c r="B64" s="94">
        <v>46124</v>
      </c>
      <c r="C64" s="94"/>
      <c r="D64" s="50" t="s">
        <v>234</v>
      </c>
      <c r="E64" s="89" t="str">
        <f>VLOOKUP(B$65,Clientes!A2:F7,3,FALSE)</f>
        <v>16.789.012-3</v>
      </c>
      <c r="F64" s="89"/>
      <c r="G64" s="89"/>
    </row>
    <row r="65" spans="1:7" x14ac:dyDescent="0.25">
      <c r="A65" s="53" t="s">
        <v>185</v>
      </c>
      <c r="B65" s="94" t="s">
        <v>165</v>
      </c>
      <c r="C65" s="94"/>
      <c r="D65" s="50" t="s">
        <v>235</v>
      </c>
      <c r="E65" s="89" t="str">
        <f>VLOOKUP(B$65,Clientes!A3:F8,4,FALSE)</f>
        <v>La Florida</v>
      </c>
      <c r="F65" s="89"/>
      <c r="G65" s="89"/>
    </row>
    <row r="66" spans="1:7" x14ac:dyDescent="0.25">
      <c r="A66" s="53" t="s">
        <v>269</v>
      </c>
      <c r="B66" s="89" t="s">
        <v>125</v>
      </c>
      <c r="C66" s="89"/>
      <c r="D66" s="50" t="s">
        <v>236</v>
      </c>
      <c r="E66" s="89" t="str">
        <f>VLOOKUP(B$65,Clientes!A4:F9,5,FALSE)</f>
        <v>sofia.leon@mail.cl</v>
      </c>
      <c r="F66" s="89"/>
      <c r="G66" s="89"/>
    </row>
    <row r="67" spans="1:7" x14ac:dyDescent="0.25">
      <c r="A67" s="80" t="s">
        <v>232</v>
      </c>
      <c r="B67" s="80"/>
      <c r="C67" s="80"/>
      <c r="D67" s="80"/>
      <c r="E67" s="80"/>
      <c r="F67" s="80"/>
      <c r="G67" s="80"/>
    </row>
    <row r="68" spans="1:7" x14ac:dyDescent="0.25">
      <c r="A68" s="45" t="s">
        <v>137</v>
      </c>
      <c r="B68" s="45" t="s">
        <v>0</v>
      </c>
      <c r="C68" s="45" t="s">
        <v>135</v>
      </c>
      <c r="D68" s="45" t="s">
        <v>181</v>
      </c>
      <c r="E68" s="45" t="s">
        <v>150</v>
      </c>
      <c r="F68" s="45" t="s">
        <v>136</v>
      </c>
      <c r="G68" s="45" t="s">
        <v>146</v>
      </c>
    </row>
    <row r="69" spans="1:7" x14ac:dyDescent="0.25">
      <c r="A69" s="18" t="s">
        <v>40</v>
      </c>
      <c r="B69" s="18" t="s">
        <v>59</v>
      </c>
      <c r="C69" s="33">
        <v>1</v>
      </c>
      <c r="D69" s="90">
        <v>120000</v>
      </c>
      <c r="E69" s="90">
        <f t="shared" ref="E69:E70" si="12">D69*C69</f>
        <v>120000</v>
      </c>
      <c r="F69" s="90">
        <f t="shared" ref="F69:F70" si="13">E69*19%</f>
        <v>22800</v>
      </c>
      <c r="G69" s="90">
        <f t="shared" ref="G69:G70" si="14">SUM(E69,F69)</f>
        <v>142800</v>
      </c>
    </row>
    <row r="70" spans="1:7" x14ac:dyDescent="0.25">
      <c r="A70" s="18" t="s">
        <v>16</v>
      </c>
      <c r="B70" s="18" t="s">
        <v>48</v>
      </c>
      <c r="C70" s="33">
        <v>2</v>
      </c>
      <c r="D70" s="90">
        <v>40000</v>
      </c>
      <c r="E70" s="90">
        <f t="shared" si="12"/>
        <v>80000</v>
      </c>
      <c r="F70" s="90">
        <f t="shared" si="13"/>
        <v>15200</v>
      </c>
      <c r="G70" s="90">
        <f t="shared" si="14"/>
        <v>95200</v>
      </c>
    </row>
    <row r="72" spans="1:7" x14ac:dyDescent="0.25">
      <c r="A72" s="53" t="s">
        <v>184</v>
      </c>
      <c r="B72" s="92">
        <f>SUM(E69:E70)</f>
        <v>200000</v>
      </c>
      <c r="E72" s="91" t="s">
        <v>240</v>
      </c>
      <c r="F72" s="91"/>
      <c r="G72" s="91"/>
    </row>
    <row r="73" spans="1:7" x14ac:dyDescent="0.25">
      <c r="A73" s="56" t="s">
        <v>238</v>
      </c>
      <c r="B73" s="85">
        <f>SUM(F69:F70)</f>
        <v>38000</v>
      </c>
      <c r="C73" s="54"/>
      <c r="D73" s="54"/>
      <c r="E73" s="69" t="s">
        <v>241</v>
      </c>
      <c r="F73" s="69"/>
      <c r="G73" s="69"/>
    </row>
    <row r="74" spans="1:7" x14ac:dyDescent="0.25">
      <c r="A74" s="56" t="s">
        <v>239</v>
      </c>
      <c r="B74" s="85">
        <f>SUM(B72:B73)</f>
        <v>238000</v>
      </c>
      <c r="C74" s="54"/>
      <c r="D74" s="54"/>
      <c r="E74" s="69"/>
      <c r="F74" s="69"/>
      <c r="G74" s="69"/>
    </row>
  </sheetData>
  <mergeCells count="65">
    <mergeCell ref="E72:G72"/>
    <mergeCell ref="B64:C64"/>
    <mergeCell ref="B65:C65"/>
    <mergeCell ref="B66:C66"/>
    <mergeCell ref="E63:G63"/>
    <mergeCell ref="E64:G64"/>
    <mergeCell ref="E65:G65"/>
    <mergeCell ref="E66:G66"/>
    <mergeCell ref="E49:G49"/>
    <mergeCell ref="E50:G50"/>
    <mergeCell ref="E51:G51"/>
    <mergeCell ref="E57:G57"/>
    <mergeCell ref="B63:C63"/>
    <mergeCell ref="B33:C33"/>
    <mergeCell ref="B34:C34"/>
    <mergeCell ref="B35:C35"/>
    <mergeCell ref="B36:C36"/>
    <mergeCell ref="E33:G33"/>
    <mergeCell ref="E34:G34"/>
    <mergeCell ref="E35:G35"/>
    <mergeCell ref="E36:G36"/>
    <mergeCell ref="A32:G32"/>
    <mergeCell ref="A1:G1"/>
    <mergeCell ref="A2:G2"/>
    <mergeCell ref="A7:G7"/>
    <mergeCell ref="E13:G14"/>
    <mergeCell ref="B3:C3"/>
    <mergeCell ref="B5:C5"/>
    <mergeCell ref="B4:C4"/>
    <mergeCell ref="B6:C6"/>
    <mergeCell ref="E3:G3"/>
    <mergeCell ref="E4:G4"/>
    <mergeCell ref="E5:G5"/>
    <mergeCell ref="E6:G6"/>
    <mergeCell ref="F12:G12"/>
    <mergeCell ref="B18:C18"/>
    <mergeCell ref="B19:C19"/>
    <mergeCell ref="A16:G16"/>
    <mergeCell ref="A17:G17"/>
    <mergeCell ref="A22:G22"/>
    <mergeCell ref="E28:G29"/>
    <mergeCell ref="A31:G31"/>
    <mergeCell ref="B20:C20"/>
    <mergeCell ref="B21:C21"/>
    <mergeCell ref="E18:G18"/>
    <mergeCell ref="E19:G19"/>
    <mergeCell ref="E20:G20"/>
    <mergeCell ref="E21:G21"/>
    <mergeCell ref="E27:G27"/>
    <mergeCell ref="A61:G61"/>
    <mergeCell ref="A62:G62"/>
    <mergeCell ref="A67:G67"/>
    <mergeCell ref="E73:G74"/>
    <mergeCell ref="A37:G37"/>
    <mergeCell ref="E43:G44"/>
    <mergeCell ref="A46:G46"/>
    <mergeCell ref="A47:G47"/>
    <mergeCell ref="A52:G52"/>
    <mergeCell ref="E58:G59"/>
    <mergeCell ref="E42:G42"/>
    <mergeCell ref="B48:C48"/>
    <mergeCell ref="B49:C49"/>
    <mergeCell ref="B50:C50"/>
    <mergeCell ref="B51:C51"/>
    <mergeCell ref="E48:G4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BB3E-A3BD-4415-9EEE-017C2AAE451E}">
  <sheetPr>
    <tabColor theme="1"/>
  </sheetPr>
  <dimension ref="A1:E13"/>
  <sheetViews>
    <sheetView workbookViewId="0">
      <selection activeCell="E13" sqref="E13"/>
    </sheetView>
  </sheetViews>
  <sheetFormatPr baseColWidth="10" defaultRowHeight="24" customHeight="1" x14ac:dyDescent="0.25"/>
  <cols>
    <col min="1" max="1" width="17.28515625" style="14" customWidth="1"/>
    <col min="2" max="2" width="28" style="14" customWidth="1"/>
    <col min="3" max="3" width="24.28515625" style="14" customWidth="1"/>
    <col min="4" max="4" width="20.85546875" style="14" customWidth="1"/>
    <col min="5" max="5" width="21.85546875" style="14" customWidth="1"/>
    <col min="6" max="16384" width="11.42578125" style="14"/>
  </cols>
  <sheetData>
    <row r="1" spans="1:5" ht="24" customHeight="1" x14ac:dyDescent="0.25">
      <c r="A1" s="105" t="s">
        <v>0</v>
      </c>
      <c r="B1" s="105" t="s">
        <v>137</v>
      </c>
      <c r="C1" s="105" t="s">
        <v>196</v>
      </c>
      <c r="D1" s="105" t="s">
        <v>139</v>
      </c>
      <c r="E1" s="105" t="s">
        <v>197</v>
      </c>
    </row>
    <row r="2" spans="1:5" ht="24" customHeight="1" x14ac:dyDescent="0.25">
      <c r="A2" s="25" t="s">
        <v>44</v>
      </c>
      <c r="B2" s="25" t="s">
        <v>7</v>
      </c>
      <c r="C2" s="13">
        <v>2</v>
      </c>
      <c r="D2" s="96">
        <f>VLOOKUP(A2,'Ficha de Productos'!A1:G17,6,FALSE)</f>
        <v>30000</v>
      </c>
      <c r="E2" s="96">
        <f>D2*C2</f>
        <v>60000</v>
      </c>
    </row>
    <row r="3" spans="1:5" ht="24" customHeight="1" x14ac:dyDescent="0.25">
      <c r="A3" s="25" t="s">
        <v>47</v>
      </c>
      <c r="B3" s="25" t="s">
        <v>15</v>
      </c>
      <c r="C3" s="13">
        <v>3</v>
      </c>
      <c r="D3" s="96">
        <f>VLOOKUP(A3,'Ficha de Productos'!A2:G18,6,FALSE)</f>
        <v>20000</v>
      </c>
      <c r="E3" s="96">
        <f t="shared" ref="E3:E11" si="0">D3*C3</f>
        <v>60000</v>
      </c>
    </row>
    <row r="4" spans="1:5" ht="24" customHeight="1" x14ac:dyDescent="0.25">
      <c r="A4" s="25" t="s">
        <v>50</v>
      </c>
      <c r="B4" s="25" t="s">
        <v>25</v>
      </c>
      <c r="C4" s="13">
        <v>2</v>
      </c>
      <c r="D4" s="96">
        <f>VLOOKUP(A4,'Ficha de Productos'!A3:G19,6,FALSE)</f>
        <v>40000</v>
      </c>
      <c r="E4" s="96">
        <f t="shared" si="0"/>
        <v>80000</v>
      </c>
    </row>
    <row r="5" spans="1:5" ht="24" customHeight="1" x14ac:dyDescent="0.25">
      <c r="A5" s="25" t="s">
        <v>52</v>
      </c>
      <c r="B5" s="25" t="s">
        <v>26</v>
      </c>
      <c r="C5" s="13">
        <v>1</v>
      </c>
      <c r="D5" s="96">
        <f>VLOOKUP(A5,'Ficha de Productos'!A4:G20,6,FALSE)</f>
        <v>35000</v>
      </c>
      <c r="E5" s="96">
        <f t="shared" si="0"/>
        <v>35000</v>
      </c>
    </row>
    <row r="6" spans="1:5" ht="24" customHeight="1" x14ac:dyDescent="0.25">
      <c r="A6" s="25" t="s">
        <v>53</v>
      </c>
      <c r="B6" s="25" t="s">
        <v>31</v>
      </c>
      <c r="C6" s="13">
        <v>1</v>
      </c>
      <c r="D6" s="96">
        <f>VLOOKUP(A6,'Ficha de Productos'!A5:G21,6,FALSE)</f>
        <v>50000</v>
      </c>
      <c r="E6" s="96">
        <f t="shared" si="0"/>
        <v>50000</v>
      </c>
    </row>
    <row r="7" spans="1:5" ht="24" customHeight="1" x14ac:dyDescent="0.25">
      <c r="A7" s="25" t="s">
        <v>55</v>
      </c>
      <c r="B7" s="25" t="s">
        <v>33</v>
      </c>
      <c r="C7" s="13">
        <v>2</v>
      </c>
      <c r="D7" s="96">
        <f>VLOOKUP(A7,'Ficha de Productos'!A6:G22,6,FALSE)</f>
        <v>45000</v>
      </c>
      <c r="E7" s="96">
        <f t="shared" si="0"/>
        <v>90000</v>
      </c>
    </row>
    <row r="8" spans="1:5" ht="24" customHeight="1" x14ac:dyDescent="0.25">
      <c r="A8" s="25" t="s">
        <v>56</v>
      </c>
      <c r="B8" s="25" t="s">
        <v>36</v>
      </c>
      <c r="C8" s="13">
        <v>1</v>
      </c>
      <c r="D8" s="96">
        <f>VLOOKUP(A8,'Ficha de Productos'!A7:G23,6,FALSE)</f>
        <v>30000</v>
      </c>
      <c r="E8" s="96">
        <f t="shared" si="0"/>
        <v>30000</v>
      </c>
    </row>
    <row r="9" spans="1:5" ht="24" customHeight="1" x14ac:dyDescent="0.25">
      <c r="A9" s="25" t="s">
        <v>58</v>
      </c>
      <c r="B9" s="25" t="s">
        <v>39</v>
      </c>
      <c r="C9" s="13">
        <v>2</v>
      </c>
      <c r="D9" s="96">
        <f>VLOOKUP(A9,'Ficha de Productos'!A8:G24,6,FALSE)</f>
        <v>20000</v>
      </c>
      <c r="E9" s="96">
        <f t="shared" si="0"/>
        <v>40000</v>
      </c>
    </row>
    <row r="10" spans="1:5" ht="24" customHeight="1" x14ac:dyDescent="0.25">
      <c r="A10" s="25" t="s">
        <v>59</v>
      </c>
      <c r="B10" s="25" t="s">
        <v>40</v>
      </c>
      <c r="C10" s="13">
        <v>1</v>
      </c>
      <c r="D10" s="96">
        <f>VLOOKUP(A10,'Ficha de Productos'!A9:G25,6,FALSE)</f>
        <v>70000</v>
      </c>
      <c r="E10" s="96">
        <f t="shared" si="0"/>
        <v>70000</v>
      </c>
    </row>
    <row r="11" spans="1:5" ht="24" customHeight="1" x14ac:dyDescent="0.25">
      <c r="A11" s="25" t="s">
        <v>48</v>
      </c>
      <c r="B11" s="25" t="s">
        <v>16</v>
      </c>
      <c r="C11" s="13">
        <v>2</v>
      </c>
      <c r="D11" s="96">
        <f>VLOOKUP(A11,'Ficha de Productos'!A1:G17,6,FALSE)</f>
        <v>20000</v>
      </c>
      <c r="E11" s="96">
        <f t="shared" si="0"/>
        <v>40000</v>
      </c>
    </row>
    <row r="12" spans="1:5" ht="24" customHeight="1" x14ac:dyDescent="0.25">
      <c r="A12" s="4"/>
      <c r="E12" s="15" t="s">
        <v>198</v>
      </c>
    </row>
    <row r="13" spans="1:5" ht="24" customHeight="1" x14ac:dyDescent="0.25">
      <c r="E13" s="104">
        <f>SUM(E2:E11)</f>
        <v>555000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69DB-124E-4916-9DD3-1C3930F7A5C4}">
  <dimension ref="A1:J4"/>
  <sheetViews>
    <sheetView workbookViewId="0">
      <selection activeCell="D4" sqref="D4"/>
    </sheetView>
  </sheetViews>
  <sheetFormatPr baseColWidth="10" defaultColWidth="17.85546875" defaultRowHeight="28.5" customHeight="1" x14ac:dyDescent="0.25"/>
  <cols>
    <col min="1" max="1" width="14.140625" style="31" customWidth="1"/>
    <col min="2" max="2" width="26.28515625" style="31" customWidth="1"/>
    <col min="3" max="3" width="24.5703125" style="31" customWidth="1"/>
    <col min="4" max="4" width="23.140625" style="31" customWidth="1"/>
    <col min="5" max="16384" width="17.85546875" style="31"/>
  </cols>
  <sheetData>
    <row r="1" spans="1:10" s="32" customFormat="1" ht="28.5" customHeight="1" x14ac:dyDescent="0.25">
      <c r="A1" s="43" t="s">
        <v>134</v>
      </c>
      <c r="B1" s="43" t="s">
        <v>2</v>
      </c>
      <c r="C1" s="43" t="s">
        <v>248</v>
      </c>
      <c r="D1" s="43" t="s">
        <v>243</v>
      </c>
      <c r="E1" s="43" t="s">
        <v>256</v>
      </c>
      <c r="F1" s="43" t="s">
        <v>270</v>
      </c>
      <c r="G1" s="43" t="s">
        <v>257</v>
      </c>
      <c r="H1" s="43" t="s">
        <v>249</v>
      </c>
      <c r="I1" s="43" t="s">
        <v>259</v>
      </c>
      <c r="J1" s="43" t="s">
        <v>261</v>
      </c>
    </row>
    <row r="2" spans="1:10" ht="28.5" customHeight="1" x14ac:dyDescent="0.25">
      <c r="A2" s="52">
        <v>46113</v>
      </c>
      <c r="B2" s="31" t="s">
        <v>250</v>
      </c>
      <c r="C2" s="31" t="s">
        <v>244</v>
      </c>
      <c r="D2" s="49" t="s">
        <v>245</v>
      </c>
      <c r="E2" s="92">
        <f>G2-F2</f>
        <v>300000</v>
      </c>
      <c r="F2" s="92">
        <v>0</v>
      </c>
      <c r="G2" s="38">
        <v>300000</v>
      </c>
      <c r="H2" s="92" t="s">
        <v>125</v>
      </c>
      <c r="I2" s="92" t="s">
        <v>260</v>
      </c>
      <c r="J2" s="38">
        <v>1001</v>
      </c>
    </row>
    <row r="3" spans="1:10" ht="28.5" customHeight="1" x14ac:dyDescent="0.25">
      <c r="A3" s="52">
        <v>46114</v>
      </c>
      <c r="B3" s="31" t="s">
        <v>251</v>
      </c>
      <c r="C3" s="31" t="s">
        <v>252</v>
      </c>
      <c r="D3" s="49" t="s">
        <v>271</v>
      </c>
      <c r="E3" s="92">
        <f>G3-F3</f>
        <v>40500</v>
      </c>
      <c r="F3" s="92">
        <f>G3*19%</f>
        <v>9500</v>
      </c>
      <c r="G3" s="38">
        <v>50000</v>
      </c>
      <c r="H3" s="92" t="s">
        <v>253</v>
      </c>
      <c r="I3" s="92" t="s">
        <v>260</v>
      </c>
      <c r="J3" s="38">
        <v>2050</v>
      </c>
    </row>
    <row r="4" spans="1:10" ht="28.5" customHeight="1" x14ac:dyDescent="0.25">
      <c r="A4" s="52">
        <v>46115</v>
      </c>
      <c r="B4" s="31" t="s">
        <v>250</v>
      </c>
      <c r="C4" s="31" t="s">
        <v>246</v>
      </c>
      <c r="D4" s="49" t="s">
        <v>247</v>
      </c>
      <c r="E4" s="92">
        <f>G4-F4</f>
        <v>24300</v>
      </c>
      <c r="F4" s="92">
        <f>G4*19%</f>
        <v>5700</v>
      </c>
      <c r="G4" s="38">
        <v>30000</v>
      </c>
      <c r="H4" s="92" t="s">
        <v>254</v>
      </c>
      <c r="I4" s="92" t="s">
        <v>260</v>
      </c>
      <c r="J4" s="38">
        <v>3321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F0CF-B2A9-4575-9F18-909D76287B67}">
  <sheetPr>
    <tabColor theme="0"/>
  </sheetPr>
  <dimension ref="A1:L17"/>
  <sheetViews>
    <sheetView topLeftCell="F1" zoomScaleNormal="100" workbookViewId="0">
      <selection activeCell="K23" sqref="K23"/>
    </sheetView>
  </sheetViews>
  <sheetFormatPr baseColWidth="10" defaultRowHeight="14.25" x14ac:dyDescent="0.25"/>
  <cols>
    <col min="1" max="1" width="15" style="14" customWidth="1"/>
    <col min="2" max="2" width="29.42578125" style="14" customWidth="1"/>
    <col min="3" max="3" width="15.42578125" style="23" customWidth="1"/>
    <col min="4" max="4" width="15.85546875" style="14" customWidth="1"/>
    <col min="5" max="5" width="21.140625" style="14" customWidth="1"/>
    <col min="6" max="6" width="18.140625" style="14" customWidth="1"/>
    <col min="7" max="7" width="20.5703125" style="14" customWidth="1"/>
    <col min="8" max="8" width="15.140625" style="14" customWidth="1"/>
    <col min="9" max="9" width="16.7109375" style="14" customWidth="1"/>
    <col min="10" max="10" width="20.28515625" style="14" customWidth="1"/>
    <col min="11" max="11" width="15.5703125" style="30" customWidth="1"/>
    <col min="12" max="12" width="20.140625" style="14" customWidth="1"/>
    <col min="13" max="16384" width="11.42578125" style="14"/>
  </cols>
  <sheetData>
    <row r="1" spans="1:12" ht="24" customHeight="1" x14ac:dyDescent="0.25">
      <c r="A1" s="15" t="s">
        <v>0</v>
      </c>
      <c r="B1" s="15" t="s">
        <v>137</v>
      </c>
      <c r="C1" s="22" t="s">
        <v>2</v>
      </c>
      <c r="D1" s="15" t="s">
        <v>199</v>
      </c>
      <c r="E1" s="15" t="s">
        <v>201</v>
      </c>
      <c r="F1" s="15" t="s">
        <v>204</v>
      </c>
      <c r="G1" s="15" t="s">
        <v>205</v>
      </c>
      <c r="H1" s="15" t="s">
        <v>200</v>
      </c>
      <c r="I1" s="15" t="s">
        <v>136</v>
      </c>
      <c r="J1" s="15" t="s">
        <v>206</v>
      </c>
      <c r="K1" s="29" t="s">
        <v>207</v>
      </c>
      <c r="L1" s="22" t="s">
        <v>208</v>
      </c>
    </row>
    <row r="2" spans="1:12" x14ac:dyDescent="0.25">
      <c r="A2" s="4" t="s">
        <v>44</v>
      </c>
      <c r="B2" s="4" t="s">
        <v>7</v>
      </c>
      <c r="C2" s="4" t="s">
        <v>8</v>
      </c>
      <c r="D2" s="14">
        <f>IFERROR(SUMIF(Ventas!E:E,'Analisis de productos'!A2,Ventas!F:F),0)</f>
        <v>2</v>
      </c>
      <c r="E2" s="23">
        <f>D2*(VLOOKUP(A2,'Ficha de Productos'!A:G,7,FALSE))</f>
        <v>120000</v>
      </c>
      <c r="F2" s="14">
        <f>IFERROR(D2*VLOOKUP(A2,'Ficha de Productos'!A:G,6,FALSE),0)</f>
        <v>60000</v>
      </c>
      <c r="G2" s="14">
        <f>E2-F2</f>
        <v>60000</v>
      </c>
      <c r="H2" s="28">
        <f>IFERROR(G2/E2,0)</f>
        <v>0.5</v>
      </c>
      <c r="I2" s="26">
        <f>IFERROR(E2*19%,0)</f>
        <v>22800</v>
      </c>
      <c r="J2" s="14">
        <f>IFERROR(E2+I2,0)</f>
        <v>142800</v>
      </c>
      <c r="K2" s="28">
        <f>IFERROR(D2/VLOOKUP(A2,'Inventario '!A:E,5,FALSE),0)</f>
        <v>0.25</v>
      </c>
      <c r="L2" s="4" t="str">
        <f>IF(D2=0,"Sin Ventas",IF(AND(H2&gt;0.5,D2&gt;=2),"Estrella",IF(D2=1,"Baja Rotación",IF(H2&lt;0.4,"Bajo Margen","Normal"))))</f>
        <v>Normal</v>
      </c>
    </row>
    <row r="3" spans="1:12" x14ac:dyDescent="0.25">
      <c r="A3" s="4" t="s">
        <v>45</v>
      </c>
      <c r="B3" s="4" t="s">
        <v>11</v>
      </c>
      <c r="C3" s="4" t="s">
        <v>8</v>
      </c>
      <c r="D3" s="23">
        <f>IFERROR(SUMIF(Ventas!E:E,'Analisis de productos'!A3,Ventas!F:F),0)</f>
        <v>0</v>
      </c>
      <c r="E3" s="23">
        <f>D3*(VLOOKUP(A3,'Ficha de Productos'!A:G,7,FALSE))</f>
        <v>0</v>
      </c>
      <c r="F3" s="23">
        <f>IFERROR(D3*VLOOKUP(A3,'Ficha de Productos'!A:G,6,FALSE),0)</f>
        <v>0</v>
      </c>
      <c r="G3" s="23">
        <f t="shared" ref="G3:G17" si="0">E3-F3</f>
        <v>0</v>
      </c>
      <c r="H3" s="28">
        <f t="shared" ref="H3:H17" si="1">IFERROR(G3/E3,0)</f>
        <v>0</v>
      </c>
      <c r="I3" s="26">
        <f t="shared" ref="I3:I17" si="2">IFERROR(E3*19%,0)</f>
        <v>0</v>
      </c>
      <c r="J3" s="23">
        <f t="shared" ref="J3:J17" si="3">IFERROR(E3+I3,0)</f>
        <v>0</v>
      </c>
      <c r="K3" s="28">
        <f>IFERROR(D3/VLOOKUP(A3,'Inventario '!A:E,5,FALSE),0)</f>
        <v>0</v>
      </c>
      <c r="L3" s="4" t="str">
        <f t="shared" ref="L3:L17" si="4">IF(D3=0,"Sin Ventas",IF(AND(H3&gt;0.5,D3&gt;=2),"Estrella",IF(D3=1,"Baja Rotación",IF(H3&lt;0.4,"Bajo Margen","Normal"))))</f>
        <v>Sin Ventas</v>
      </c>
    </row>
    <row r="4" spans="1:12" x14ac:dyDescent="0.25">
      <c r="A4" s="4" t="s">
        <v>46</v>
      </c>
      <c r="B4" s="4" t="s">
        <v>14</v>
      </c>
      <c r="C4" s="4" t="s">
        <v>8</v>
      </c>
      <c r="D4" s="23">
        <f>IFERROR(SUMIF(Ventas!E:E,'Analisis de productos'!A4,Ventas!F:F),0)</f>
        <v>0</v>
      </c>
      <c r="E4" s="23">
        <f>D4*(VLOOKUP(A4,'Ficha de Productos'!A:G,7,FALSE))</f>
        <v>0</v>
      </c>
      <c r="F4" s="23">
        <f>IFERROR(D4*VLOOKUP(A4,'Ficha de Productos'!A:G,6,FALSE),0)</f>
        <v>0</v>
      </c>
      <c r="G4" s="23">
        <f t="shared" si="0"/>
        <v>0</v>
      </c>
      <c r="H4" s="28">
        <f t="shared" si="1"/>
        <v>0</v>
      </c>
      <c r="I4" s="26">
        <f t="shared" si="2"/>
        <v>0</v>
      </c>
      <c r="J4" s="23">
        <f t="shared" si="3"/>
        <v>0</v>
      </c>
      <c r="K4" s="28">
        <f>IFERROR(D4/VLOOKUP(A4,'Inventario '!A:E,5,FALSE),0)</f>
        <v>0</v>
      </c>
      <c r="L4" s="4" t="str">
        <f t="shared" si="4"/>
        <v>Sin Ventas</v>
      </c>
    </row>
    <row r="5" spans="1:12" x14ac:dyDescent="0.25">
      <c r="A5" s="4" t="s">
        <v>47</v>
      </c>
      <c r="B5" s="4" t="s">
        <v>15</v>
      </c>
      <c r="C5" s="4" t="s">
        <v>18</v>
      </c>
      <c r="D5" s="23">
        <f>IFERROR(SUMIF(Ventas!E:E,'Analisis de productos'!A5,Ventas!F:F),0)</f>
        <v>3</v>
      </c>
      <c r="E5" s="23">
        <f>D5*(VLOOKUP(A5,'Ficha de Productos'!A:G,7,FALSE))</f>
        <v>120000</v>
      </c>
      <c r="F5" s="23">
        <f>IFERROR(D5*VLOOKUP(A5,'Ficha de Productos'!A:G,6,FALSE),0)</f>
        <v>60000</v>
      </c>
      <c r="G5" s="23">
        <f t="shared" si="0"/>
        <v>60000</v>
      </c>
      <c r="H5" s="28">
        <f t="shared" si="1"/>
        <v>0.5</v>
      </c>
      <c r="I5" s="26">
        <f t="shared" si="2"/>
        <v>22800</v>
      </c>
      <c r="J5" s="23">
        <f t="shared" si="3"/>
        <v>142800</v>
      </c>
      <c r="K5" s="28">
        <f>IFERROR(D5/VLOOKUP(A5,'Inventario '!A:E,5,FALSE),0)</f>
        <v>0.42857142857142855</v>
      </c>
      <c r="L5" s="4" t="str">
        <f t="shared" si="4"/>
        <v>Normal</v>
      </c>
    </row>
    <row r="6" spans="1:12" x14ac:dyDescent="0.25">
      <c r="A6" s="4" t="s">
        <v>48</v>
      </c>
      <c r="B6" s="4" t="s">
        <v>16</v>
      </c>
      <c r="C6" s="4" t="s">
        <v>18</v>
      </c>
      <c r="D6" s="23">
        <f>IFERROR(SUMIF(Ventas!E:E,'Analisis de productos'!A6,Ventas!F:F),0)</f>
        <v>2</v>
      </c>
      <c r="E6" s="23">
        <f>D6*(VLOOKUP(A6,'Ficha de Productos'!A:G,7,FALSE))</f>
        <v>80000</v>
      </c>
      <c r="F6" s="23">
        <f>IFERROR(D6*VLOOKUP(A6,'Ficha de Productos'!A:G,6,FALSE),0)</f>
        <v>40000</v>
      </c>
      <c r="G6" s="23">
        <f t="shared" si="0"/>
        <v>40000</v>
      </c>
      <c r="H6" s="28">
        <f t="shared" si="1"/>
        <v>0.5</v>
      </c>
      <c r="I6" s="26">
        <f t="shared" si="2"/>
        <v>15200</v>
      </c>
      <c r="J6" s="23">
        <f t="shared" si="3"/>
        <v>95200</v>
      </c>
      <c r="K6" s="28">
        <f>IFERROR(D6/VLOOKUP(A6,'Inventario '!A:E,5,FALSE),0)</f>
        <v>0.25</v>
      </c>
      <c r="L6" s="4" t="str">
        <f t="shared" si="4"/>
        <v>Normal</v>
      </c>
    </row>
    <row r="7" spans="1:12" x14ac:dyDescent="0.25">
      <c r="A7" s="4" t="s">
        <v>49</v>
      </c>
      <c r="B7" s="4" t="s">
        <v>17</v>
      </c>
      <c r="C7" s="4" t="s">
        <v>18</v>
      </c>
      <c r="D7" s="23">
        <f>IFERROR(SUMIF(Ventas!E:E,'Analisis de productos'!A7,Ventas!F:F),0)</f>
        <v>0</v>
      </c>
      <c r="E7" s="23">
        <f>D7*(VLOOKUP(A7,'Ficha de Productos'!A:G,7,FALSE))</f>
        <v>0</v>
      </c>
      <c r="F7" s="23">
        <f>IFERROR(D7*VLOOKUP(A7,'Ficha de Productos'!A:G,6,FALSE),0)</f>
        <v>0</v>
      </c>
      <c r="G7" s="23">
        <f t="shared" si="0"/>
        <v>0</v>
      </c>
      <c r="H7" s="28">
        <f t="shared" si="1"/>
        <v>0</v>
      </c>
      <c r="I7" s="26">
        <f t="shared" si="2"/>
        <v>0</v>
      </c>
      <c r="J7" s="23">
        <f t="shared" si="3"/>
        <v>0</v>
      </c>
      <c r="K7" s="28">
        <f>IFERROR(D7/VLOOKUP(A7,'Inventario '!A:E,5,FALSE),0)</f>
        <v>0</v>
      </c>
      <c r="L7" s="4" t="str">
        <f t="shared" si="4"/>
        <v>Sin Ventas</v>
      </c>
    </row>
    <row r="8" spans="1:12" x14ac:dyDescent="0.25">
      <c r="A8" s="4" t="s">
        <v>50</v>
      </c>
      <c r="B8" s="4" t="s">
        <v>25</v>
      </c>
      <c r="C8" s="4" t="s">
        <v>28</v>
      </c>
      <c r="D8" s="23">
        <f>IFERROR(SUMIF(Ventas!E:E,'Analisis de productos'!A8,Ventas!F:F),0)</f>
        <v>2</v>
      </c>
      <c r="E8" s="23">
        <f>D8*(VLOOKUP(A8,'Ficha de Productos'!A:G,7,FALSE))</f>
        <v>120000</v>
      </c>
      <c r="F8" s="23">
        <f>IFERROR(D8*VLOOKUP(A8,'Ficha de Productos'!A:G,6,FALSE),0)</f>
        <v>80000</v>
      </c>
      <c r="G8" s="23">
        <f t="shared" si="0"/>
        <v>40000</v>
      </c>
      <c r="H8" s="28">
        <f t="shared" si="1"/>
        <v>0.33333333333333331</v>
      </c>
      <c r="I8" s="26">
        <f t="shared" si="2"/>
        <v>22800</v>
      </c>
      <c r="J8" s="23">
        <f t="shared" si="3"/>
        <v>142800</v>
      </c>
      <c r="K8" s="28">
        <f>IFERROR(D8/VLOOKUP(A8,'Inventario '!A:E,5,FALSE),0)</f>
        <v>0.25</v>
      </c>
      <c r="L8" s="4" t="str">
        <f t="shared" si="4"/>
        <v>Bajo Margen</v>
      </c>
    </row>
    <row r="9" spans="1:12" x14ac:dyDescent="0.25">
      <c r="A9" s="4" t="s">
        <v>51</v>
      </c>
      <c r="B9" s="4" t="s">
        <v>27</v>
      </c>
      <c r="C9" s="4" t="s">
        <v>28</v>
      </c>
      <c r="D9" s="23">
        <f>IFERROR(SUMIF(Ventas!E:E,'Analisis de productos'!A9,Ventas!F:F),0)</f>
        <v>0</v>
      </c>
      <c r="E9" s="23">
        <f>D9*(VLOOKUP(A9,'Ficha de Productos'!A:G,7,FALSE))</f>
        <v>0</v>
      </c>
      <c r="F9" s="23">
        <f>IFERROR(D9*VLOOKUP(A9,'Ficha de Productos'!A:G,6,FALSE),0)</f>
        <v>0</v>
      </c>
      <c r="G9" s="23">
        <f t="shared" si="0"/>
        <v>0</v>
      </c>
      <c r="H9" s="28">
        <f t="shared" si="1"/>
        <v>0</v>
      </c>
      <c r="I9" s="26">
        <f t="shared" si="2"/>
        <v>0</v>
      </c>
      <c r="J9" s="23">
        <f t="shared" si="3"/>
        <v>0</v>
      </c>
      <c r="K9" s="28">
        <f>IFERROR(D9/VLOOKUP(A9,'Inventario '!A:E,5,FALSE),0)</f>
        <v>0</v>
      </c>
      <c r="L9" s="4" t="str">
        <f t="shared" si="4"/>
        <v>Sin Ventas</v>
      </c>
    </row>
    <row r="10" spans="1:12" x14ac:dyDescent="0.25">
      <c r="A10" s="4" t="s">
        <v>52</v>
      </c>
      <c r="B10" s="4" t="s">
        <v>26</v>
      </c>
      <c r="C10" s="4" t="s">
        <v>26</v>
      </c>
      <c r="D10" s="23">
        <f>IFERROR(SUMIF(Ventas!E:E,'Analisis de productos'!A10,Ventas!F:F),0)</f>
        <v>1</v>
      </c>
      <c r="E10" s="23">
        <f>D10*(VLOOKUP(A10,'Ficha de Productos'!A:G,7,FALSE))</f>
        <v>55000</v>
      </c>
      <c r="F10" s="23">
        <f>IFERROR(D10*VLOOKUP(A10,'Ficha de Productos'!A:G,6,FALSE),0)</f>
        <v>35000</v>
      </c>
      <c r="G10" s="23">
        <f t="shared" si="0"/>
        <v>20000</v>
      </c>
      <c r="H10" s="28">
        <f t="shared" si="1"/>
        <v>0.36363636363636365</v>
      </c>
      <c r="I10" s="26">
        <f>IFERROR(E10*19%,0)</f>
        <v>10450</v>
      </c>
      <c r="J10" s="23">
        <f t="shared" si="3"/>
        <v>65450</v>
      </c>
      <c r="K10" s="28">
        <f>IFERROR(D10/VLOOKUP(A10,'Inventario '!A:E,5,FALSE),0)</f>
        <v>0.1111111111111111</v>
      </c>
      <c r="L10" s="4" t="str">
        <f t="shared" si="4"/>
        <v>Baja Rotación</v>
      </c>
    </row>
    <row r="11" spans="1:12" x14ac:dyDescent="0.25">
      <c r="A11" s="4" t="s">
        <v>53</v>
      </c>
      <c r="B11" s="4" t="s">
        <v>31</v>
      </c>
      <c r="C11" s="4" t="s">
        <v>34</v>
      </c>
      <c r="D11" s="23">
        <f>IFERROR(SUMIF(Ventas!E:E,'Analisis de productos'!A11,Ventas!F:F),0)</f>
        <v>1</v>
      </c>
      <c r="E11" s="23">
        <f>D11*(VLOOKUP(A11,'Ficha de Productos'!A:G,7,FALSE))</f>
        <v>80000</v>
      </c>
      <c r="F11" s="23">
        <f>IFERROR(D11*VLOOKUP(A11,'Ficha de Productos'!A:G,6,FALSE),0)</f>
        <v>50000</v>
      </c>
      <c r="G11" s="23">
        <f t="shared" si="0"/>
        <v>30000</v>
      </c>
      <c r="H11" s="28">
        <f t="shared" si="1"/>
        <v>0.375</v>
      </c>
      <c r="I11" s="26">
        <f t="shared" si="2"/>
        <v>15200</v>
      </c>
      <c r="J11" s="23">
        <f t="shared" si="3"/>
        <v>95200</v>
      </c>
      <c r="K11" s="28">
        <f>IFERROR(D11/VLOOKUP(A11,'Inventario '!A:E,5,FALSE),0)</f>
        <v>0.1111111111111111</v>
      </c>
      <c r="L11" s="4" t="str">
        <f t="shared" si="4"/>
        <v>Baja Rotación</v>
      </c>
    </row>
    <row r="12" spans="1:12" x14ac:dyDescent="0.25">
      <c r="A12" s="4" t="s">
        <v>54</v>
      </c>
      <c r="B12" s="4" t="s">
        <v>32</v>
      </c>
      <c r="C12" s="4" t="s">
        <v>34</v>
      </c>
      <c r="D12" s="23">
        <f>IFERROR(SUMIF(Ventas!E:E,'Analisis de productos'!A12,Ventas!F:F),0)</f>
        <v>0</v>
      </c>
      <c r="E12" s="23">
        <f>D12*(VLOOKUP(A12,'Ficha de Productos'!A:G,7,FALSE))</f>
        <v>0</v>
      </c>
      <c r="F12" s="23">
        <f>IFERROR(D12*VLOOKUP(A12,'Ficha de Productos'!A:G,6,FALSE),0)</f>
        <v>0</v>
      </c>
      <c r="G12" s="23">
        <f t="shared" si="0"/>
        <v>0</v>
      </c>
      <c r="H12" s="28">
        <f t="shared" si="1"/>
        <v>0</v>
      </c>
      <c r="I12" s="26">
        <f t="shared" si="2"/>
        <v>0</v>
      </c>
      <c r="J12" s="23">
        <f t="shared" si="3"/>
        <v>0</v>
      </c>
      <c r="K12" s="28">
        <f>IFERROR(D12/VLOOKUP(A12,'Inventario '!A:E,5,FALSE),0)</f>
        <v>0</v>
      </c>
      <c r="L12" s="4" t="str">
        <f t="shared" si="4"/>
        <v>Sin Ventas</v>
      </c>
    </row>
    <row r="13" spans="1:12" x14ac:dyDescent="0.25">
      <c r="A13" s="4" t="s">
        <v>55</v>
      </c>
      <c r="B13" s="4" t="s">
        <v>33</v>
      </c>
      <c r="C13" s="4" t="s">
        <v>34</v>
      </c>
      <c r="D13" s="23">
        <f>IFERROR(SUMIF(Ventas!E:E,'Analisis de productos'!A13,Ventas!F:F),0)</f>
        <v>2</v>
      </c>
      <c r="E13" s="23">
        <f>D13*(VLOOKUP(A13,'Ficha de Productos'!A:G,7,FALSE))</f>
        <v>140000</v>
      </c>
      <c r="F13" s="23">
        <f>IFERROR(D13*VLOOKUP(A13,'Ficha de Productos'!A:G,6,FALSE),0)</f>
        <v>90000</v>
      </c>
      <c r="G13" s="23">
        <f t="shared" si="0"/>
        <v>50000</v>
      </c>
      <c r="H13" s="28">
        <f t="shared" si="1"/>
        <v>0.35714285714285715</v>
      </c>
      <c r="I13" s="26">
        <f t="shared" si="2"/>
        <v>26600</v>
      </c>
      <c r="J13" s="23">
        <f t="shared" si="3"/>
        <v>166600</v>
      </c>
      <c r="K13" s="28">
        <f>IFERROR(D13/VLOOKUP(A13,'Inventario '!A:E,5,FALSE),0)</f>
        <v>0.25</v>
      </c>
      <c r="L13" s="4" t="str">
        <f t="shared" si="4"/>
        <v>Bajo Margen</v>
      </c>
    </row>
    <row r="14" spans="1:12" x14ac:dyDescent="0.25">
      <c r="A14" s="4" t="s">
        <v>56</v>
      </c>
      <c r="B14" s="4" t="s">
        <v>36</v>
      </c>
      <c r="C14" s="4" t="s">
        <v>37</v>
      </c>
      <c r="D14" s="23">
        <f>IFERROR(SUMIF(Ventas!E:E,'Analisis de productos'!A14,Ventas!F:F),0)</f>
        <v>1</v>
      </c>
      <c r="E14" s="23">
        <f>D14*(VLOOKUP(A14,'Ficha de Productos'!A:G,7,FALSE))</f>
        <v>120000</v>
      </c>
      <c r="F14" s="23">
        <f>IFERROR(D14*VLOOKUP(A14,'Ficha de Productos'!A:G,6,FALSE),0)</f>
        <v>30000</v>
      </c>
      <c r="G14" s="23">
        <f t="shared" si="0"/>
        <v>90000</v>
      </c>
      <c r="H14" s="28">
        <f t="shared" si="1"/>
        <v>0.75</v>
      </c>
      <c r="I14" s="26">
        <f t="shared" si="2"/>
        <v>22800</v>
      </c>
      <c r="J14" s="23">
        <f t="shared" si="3"/>
        <v>142800</v>
      </c>
      <c r="K14" s="28">
        <f>IFERROR(D14/VLOOKUP(A14,'Inventario '!A:E,5,FALSE),0)</f>
        <v>0.1111111111111111</v>
      </c>
      <c r="L14" s="4" t="str">
        <f t="shared" si="4"/>
        <v>Baja Rotación</v>
      </c>
    </row>
    <row r="15" spans="1:12" x14ac:dyDescent="0.25">
      <c r="A15" s="4" t="s">
        <v>57</v>
      </c>
      <c r="B15" s="4" t="s">
        <v>38</v>
      </c>
      <c r="C15" s="4" t="s">
        <v>37</v>
      </c>
      <c r="D15" s="23">
        <f>IFERROR(SUMIF(Ventas!E:E,'Analisis de productos'!A15,Ventas!F:F),0)</f>
        <v>0</v>
      </c>
      <c r="E15" s="23">
        <f>D15*(VLOOKUP(A15,'Ficha de Productos'!A:G,7,FALSE))</f>
        <v>0</v>
      </c>
      <c r="F15" s="23">
        <f>IFERROR(D15*VLOOKUP(A15,'Ficha de Productos'!A:G,6,FALSE),0)</f>
        <v>0</v>
      </c>
      <c r="G15" s="23">
        <f t="shared" si="0"/>
        <v>0</v>
      </c>
      <c r="H15" s="28">
        <f t="shared" si="1"/>
        <v>0</v>
      </c>
      <c r="I15" s="26">
        <f t="shared" si="2"/>
        <v>0</v>
      </c>
      <c r="J15" s="23">
        <f t="shared" si="3"/>
        <v>0</v>
      </c>
      <c r="K15" s="28">
        <f>IFERROR(D15/VLOOKUP(A15,'Inventario '!A:E,5,FALSE),0)</f>
        <v>0</v>
      </c>
      <c r="L15" s="4" t="str">
        <f t="shared" si="4"/>
        <v>Sin Ventas</v>
      </c>
    </row>
    <row r="16" spans="1:12" x14ac:dyDescent="0.25">
      <c r="A16" s="4" t="s">
        <v>58</v>
      </c>
      <c r="B16" s="4" t="s">
        <v>39</v>
      </c>
      <c r="C16" s="4" t="s">
        <v>37</v>
      </c>
      <c r="D16" s="23">
        <f>IFERROR(SUMIF(Ventas!E:E,'Analisis de productos'!A16,Ventas!F:F),0)</f>
        <v>2</v>
      </c>
      <c r="E16" s="23">
        <f>D16*(VLOOKUP(A16,'Ficha de Productos'!A:G,7,FALSE))</f>
        <v>100000</v>
      </c>
      <c r="F16" s="23">
        <f>IFERROR(D16*VLOOKUP(A16,'Ficha de Productos'!A:G,6,FALSE),0)</f>
        <v>40000</v>
      </c>
      <c r="G16" s="23">
        <f t="shared" si="0"/>
        <v>60000</v>
      </c>
      <c r="H16" s="28">
        <f t="shared" si="1"/>
        <v>0.6</v>
      </c>
      <c r="I16" s="26">
        <f t="shared" si="2"/>
        <v>19000</v>
      </c>
      <c r="J16" s="23">
        <f t="shared" si="3"/>
        <v>119000</v>
      </c>
      <c r="K16" s="28">
        <f>IFERROR(D16/VLOOKUP(A16,'Inventario '!A:E,5,FALSE),0)</f>
        <v>0.25</v>
      </c>
      <c r="L16" s="4" t="str">
        <f t="shared" si="4"/>
        <v>Estrella</v>
      </c>
    </row>
    <row r="17" spans="1:12" x14ac:dyDescent="0.25">
      <c r="A17" s="4" t="s">
        <v>59</v>
      </c>
      <c r="B17" s="4" t="s">
        <v>40</v>
      </c>
      <c r="C17" s="4" t="s">
        <v>37</v>
      </c>
      <c r="D17" s="23">
        <f>IFERROR(SUMIF(Ventas!E:E,'Analisis de productos'!A17,Ventas!F:F),0)</f>
        <v>1</v>
      </c>
      <c r="E17" s="23">
        <f>D17*(VLOOKUP(A17,'Ficha de Productos'!A:G,7,FALSE))</f>
        <v>120000</v>
      </c>
      <c r="F17" s="23">
        <f>IFERROR(D17*VLOOKUP(A17,'Ficha de Productos'!A:G,6,FALSE),0)</f>
        <v>70000</v>
      </c>
      <c r="G17" s="23">
        <f t="shared" si="0"/>
        <v>50000</v>
      </c>
      <c r="H17" s="28">
        <f t="shared" si="1"/>
        <v>0.41666666666666669</v>
      </c>
      <c r="I17" s="26">
        <f t="shared" si="2"/>
        <v>22800</v>
      </c>
      <c r="J17" s="23">
        <f t="shared" si="3"/>
        <v>142800</v>
      </c>
      <c r="K17" s="28">
        <f>IFERROR(D17/VLOOKUP(A17,'Inventario '!A:E,5,FALSE),0)</f>
        <v>0.1111111111111111</v>
      </c>
      <c r="L17" s="4" t="str">
        <f t="shared" si="4"/>
        <v>Baja Rotación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3DFB-91BE-480F-B186-603585C9E721}">
  <sheetPr>
    <tabColor theme="1"/>
  </sheetPr>
  <dimension ref="A1:B20"/>
  <sheetViews>
    <sheetView workbookViewId="0">
      <selection activeCell="D12" sqref="D12"/>
    </sheetView>
  </sheetViews>
  <sheetFormatPr baseColWidth="10" defaultRowHeight="14.25" x14ac:dyDescent="0.25"/>
  <cols>
    <col min="1" max="1" width="62.5703125" style="32" customWidth="1"/>
    <col min="2" max="2" width="26.42578125" style="32" customWidth="1"/>
    <col min="3" max="16384" width="11.42578125" style="32"/>
  </cols>
  <sheetData>
    <row r="1" spans="1:2" ht="48" customHeight="1" x14ac:dyDescent="0.25">
      <c r="A1" s="46" t="s">
        <v>216</v>
      </c>
      <c r="B1" s="46" t="s">
        <v>272</v>
      </c>
    </row>
    <row r="2" spans="1:2" s="42" customFormat="1" ht="17.25" customHeight="1" x14ac:dyDescent="0.25">
      <c r="A2" s="47" t="s">
        <v>218</v>
      </c>
      <c r="B2" s="47"/>
    </row>
    <row r="3" spans="1:2" ht="20.25" customHeight="1" x14ac:dyDescent="0.25">
      <c r="A3" s="35" t="s">
        <v>209</v>
      </c>
      <c r="B3" s="35" t="s">
        <v>210</v>
      </c>
    </row>
    <row r="4" spans="1:2" x14ac:dyDescent="0.25">
      <c r="A4" s="31" t="s">
        <v>211</v>
      </c>
      <c r="B4" s="106">
        <f>SUM('Analisis de productos'!E:E)</f>
        <v>1055000</v>
      </c>
    </row>
    <row r="5" spans="1:2" x14ac:dyDescent="0.25">
      <c r="A5" s="31" t="s">
        <v>212</v>
      </c>
      <c r="B5" s="106">
        <f>SUM('Analisis de productos'!F:F)</f>
        <v>555000</v>
      </c>
    </row>
    <row r="6" spans="1:2" x14ac:dyDescent="0.25">
      <c r="A6" s="31"/>
      <c r="B6" s="106"/>
    </row>
    <row r="7" spans="1:2" x14ac:dyDescent="0.25">
      <c r="A7" s="39" t="s">
        <v>213</v>
      </c>
      <c r="B7" s="107">
        <f>B4-B5</f>
        <v>500000</v>
      </c>
    </row>
    <row r="8" spans="1:2" x14ac:dyDescent="0.25">
      <c r="A8" s="31" t="s">
        <v>214</v>
      </c>
      <c r="B8" s="108">
        <f>SUM('No Inventariable'!E2:E4)</f>
        <v>364800</v>
      </c>
    </row>
    <row r="9" spans="1:2" x14ac:dyDescent="0.25">
      <c r="A9" s="31"/>
      <c r="B9" s="106"/>
    </row>
    <row r="10" spans="1:2" x14ac:dyDescent="0.25">
      <c r="A10" s="39" t="s">
        <v>215</v>
      </c>
      <c r="B10" s="107">
        <f>B7-B8</f>
        <v>135200</v>
      </c>
    </row>
    <row r="11" spans="1:2" x14ac:dyDescent="0.25">
      <c r="A11" s="31"/>
      <c r="B11" s="106"/>
    </row>
    <row r="12" spans="1:2" x14ac:dyDescent="0.25">
      <c r="A12" s="41" t="s">
        <v>217</v>
      </c>
      <c r="B12" s="109">
        <f>B10/B4</f>
        <v>0.12815165876777251</v>
      </c>
    </row>
    <row r="13" spans="1:2" x14ac:dyDescent="0.25">
      <c r="B13" s="106"/>
    </row>
    <row r="15" spans="1:2" ht="14.25" customHeight="1" x14ac:dyDescent="0.25">
      <c r="A15" s="70" t="s">
        <v>255</v>
      </c>
      <c r="B15" s="70"/>
    </row>
    <row r="16" spans="1:2" x14ac:dyDescent="0.25">
      <c r="A16" s="70"/>
      <c r="B16" s="70"/>
    </row>
    <row r="17" spans="1:2" x14ac:dyDescent="0.25">
      <c r="A17" s="70"/>
      <c r="B17" s="70"/>
    </row>
    <row r="18" spans="1:2" x14ac:dyDescent="0.25">
      <c r="A18" s="70"/>
      <c r="B18" s="70"/>
    </row>
    <row r="19" spans="1:2" x14ac:dyDescent="0.25">
      <c r="A19" s="70"/>
      <c r="B19" s="70"/>
    </row>
    <row r="20" spans="1:2" x14ac:dyDescent="0.25">
      <c r="A20" s="70"/>
      <c r="B20" s="70"/>
    </row>
  </sheetData>
  <mergeCells count="1">
    <mergeCell ref="A15:B20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DE8D-2D01-475D-AC8D-81EEAAC7A30A}">
  <sheetPr>
    <tabColor theme="1"/>
  </sheetPr>
  <dimension ref="A1:B15"/>
  <sheetViews>
    <sheetView workbookViewId="0">
      <selection activeCell="D5" sqref="D5"/>
    </sheetView>
  </sheetViews>
  <sheetFormatPr baseColWidth="10" defaultRowHeight="14.25" x14ac:dyDescent="0.25"/>
  <cols>
    <col min="1" max="1" width="35" style="32" customWidth="1"/>
    <col min="2" max="2" width="28.140625" style="32" customWidth="1"/>
    <col min="3" max="16384" width="11.42578125" style="32"/>
  </cols>
  <sheetData>
    <row r="1" spans="1:2" ht="27.75" customHeight="1" x14ac:dyDescent="0.25">
      <c r="A1" s="48" t="s">
        <v>221</v>
      </c>
      <c r="B1" s="48" t="s">
        <v>272</v>
      </c>
    </row>
    <row r="2" spans="1:2" s="42" customFormat="1" ht="17.25" customHeight="1" x14ac:dyDescent="0.25">
      <c r="A2" s="47" t="s">
        <v>218</v>
      </c>
      <c r="B2" s="47"/>
    </row>
    <row r="3" spans="1:2" x14ac:dyDescent="0.25">
      <c r="A3" s="37" t="s">
        <v>209</v>
      </c>
      <c r="B3" s="37" t="s">
        <v>210</v>
      </c>
    </row>
    <row r="4" spans="1:2" x14ac:dyDescent="0.25">
      <c r="A4" s="36" t="s">
        <v>219</v>
      </c>
      <c r="B4" s="38">
        <f>SUM('Analisis de productos'!I:I)</f>
        <v>200450</v>
      </c>
    </row>
    <row r="5" spans="1:2" x14ac:dyDescent="0.25">
      <c r="A5" s="36" t="s">
        <v>220</v>
      </c>
      <c r="B5" s="38">
        <f>SUM(1073500,'No Inventariable'!F3:F4)</f>
        <v>1088700</v>
      </c>
    </row>
    <row r="6" spans="1:2" ht="9.75" customHeight="1" x14ac:dyDescent="0.25">
      <c r="A6" s="36"/>
      <c r="B6" s="38"/>
    </row>
    <row r="7" spans="1:2" x14ac:dyDescent="0.25">
      <c r="A7" s="44" t="s">
        <v>222</v>
      </c>
      <c r="B7" s="40">
        <f>B4-B5</f>
        <v>-888250</v>
      </c>
    </row>
    <row r="11" spans="1:2" x14ac:dyDescent="0.25">
      <c r="A11" s="70" t="s">
        <v>258</v>
      </c>
      <c r="B11" s="70"/>
    </row>
    <row r="12" spans="1:2" x14ac:dyDescent="0.25">
      <c r="A12" s="70"/>
      <c r="B12" s="70"/>
    </row>
    <row r="13" spans="1:2" x14ac:dyDescent="0.25">
      <c r="A13" s="70"/>
      <c r="B13" s="70"/>
    </row>
    <row r="14" spans="1:2" x14ac:dyDescent="0.25">
      <c r="A14" s="70"/>
      <c r="B14" s="70"/>
    </row>
    <row r="15" spans="1:2" x14ac:dyDescent="0.25">
      <c r="A15" s="70"/>
      <c r="B15" s="70"/>
    </row>
  </sheetData>
  <mergeCells count="1">
    <mergeCell ref="A11:B15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05A1-4B15-4F8C-A583-DD7C7E2F9A70}">
  <dimension ref="A1:K38"/>
  <sheetViews>
    <sheetView zoomScale="80" zoomScaleNormal="80" workbookViewId="0">
      <selection activeCell="L19" sqref="L19"/>
    </sheetView>
  </sheetViews>
  <sheetFormatPr baseColWidth="10" defaultRowHeight="14.25" x14ac:dyDescent="0.25"/>
  <cols>
    <col min="1" max="1" width="21.7109375" style="32" bestFit="1" customWidth="1"/>
    <col min="2" max="2" width="25.28515625" style="32" bestFit="1" customWidth="1"/>
    <col min="3" max="16384" width="11.42578125" style="32"/>
  </cols>
  <sheetData>
    <row r="1" spans="1:3" ht="18" x14ac:dyDescent="0.2">
      <c r="A1" s="112" t="s">
        <v>137</v>
      </c>
      <c r="B1" s="112" t="s">
        <v>224</v>
      </c>
      <c r="C1" s="1"/>
    </row>
    <row r="2" spans="1:3" ht="18" x14ac:dyDescent="0.2">
      <c r="A2" s="113" t="s">
        <v>7</v>
      </c>
      <c r="B2" s="116">
        <v>60000</v>
      </c>
      <c r="C2" s="1"/>
    </row>
    <row r="3" spans="1:3" ht="18" x14ac:dyDescent="0.2">
      <c r="A3" s="113" t="s">
        <v>14</v>
      </c>
      <c r="B3" s="116">
        <v>0</v>
      </c>
      <c r="C3" s="1"/>
    </row>
    <row r="4" spans="1:3" ht="18" x14ac:dyDescent="0.2">
      <c r="A4" s="113" t="s">
        <v>11</v>
      </c>
      <c r="B4" s="116">
        <v>0</v>
      </c>
      <c r="C4" s="1"/>
    </row>
    <row r="5" spans="1:3" ht="18" x14ac:dyDescent="0.2">
      <c r="A5" s="114" t="s">
        <v>223</v>
      </c>
      <c r="B5" s="115">
        <v>60000</v>
      </c>
      <c r="C5" s="1"/>
    </row>
    <row r="6" spans="1:3" ht="18" x14ac:dyDescent="0.2">
      <c r="A6"/>
      <c r="B6"/>
      <c r="C6" s="1"/>
    </row>
    <row r="7" spans="1:3" ht="15" x14ac:dyDescent="0.25">
      <c r="A7"/>
      <c r="B7"/>
      <c r="C7" s="1"/>
    </row>
    <row r="8" spans="1:3" ht="15" x14ac:dyDescent="0.25">
      <c r="A8"/>
      <c r="B8"/>
      <c r="C8" s="1"/>
    </row>
    <row r="9" spans="1:3" ht="15" x14ac:dyDescent="0.25">
      <c r="A9"/>
      <c r="B9"/>
      <c r="C9" s="1"/>
    </row>
    <row r="10" spans="1:3" ht="15" x14ac:dyDescent="0.25">
      <c r="A10"/>
      <c r="B10"/>
      <c r="C10" s="1"/>
    </row>
    <row r="11" spans="1:3" ht="15" x14ac:dyDescent="0.25">
      <c r="A11"/>
      <c r="B11"/>
      <c r="C11" s="1"/>
    </row>
    <row r="12" spans="1:3" ht="15" x14ac:dyDescent="0.25">
      <c r="A12"/>
      <c r="B12"/>
      <c r="C12" s="1"/>
    </row>
    <row r="13" spans="1:3" ht="15" x14ac:dyDescent="0.25">
      <c r="A13"/>
      <c r="B13"/>
      <c r="C13" s="1"/>
    </row>
    <row r="14" spans="1:3" ht="15" x14ac:dyDescent="0.25">
      <c r="A14"/>
      <c r="B14"/>
      <c r="C14" s="1"/>
    </row>
    <row r="15" spans="1:3" ht="15" x14ac:dyDescent="0.25">
      <c r="A15"/>
      <c r="B15"/>
      <c r="C15" s="1"/>
    </row>
    <row r="16" spans="1:3" ht="15" x14ac:dyDescent="0.25">
      <c r="A16"/>
      <c r="B16"/>
      <c r="C16" s="1"/>
    </row>
    <row r="17" spans="1:3" ht="15" x14ac:dyDescent="0.25">
      <c r="A17"/>
      <c r="B17"/>
      <c r="C17" s="1"/>
    </row>
    <row r="18" spans="1:3" ht="15" x14ac:dyDescent="0.25">
      <c r="A18"/>
      <c r="B18"/>
      <c r="C18" s="1"/>
    </row>
    <row r="21" spans="1:3" ht="18" x14ac:dyDescent="0.2">
      <c r="A21" s="117" t="s">
        <v>2</v>
      </c>
      <c r="B21" s="117" t="s">
        <v>225</v>
      </c>
      <c r="C21" s="1"/>
    </row>
    <row r="22" spans="1:3" ht="18" x14ac:dyDescent="0.2">
      <c r="A22" s="119" t="s">
        <v>8</v>
      </c>
      <c r="B22" s="120">
        <v>2</v>
      </c>
      <c r="C22" s="1"/>
    </row>
    <row r="23" spans="1:3" ht="18" x14ac:dyDescent="0.2">
      <c r="A23" s="117" t="s">
        <v>223</v>
      </c>
      <c r="B23" s="118">
        <v>2</v>
      </c>
      <c r="C23" s="1"/>
    </row>
    <row r="24" spans="1:3" ht="15" x14ac:dyDescent="0.25">
      <c r="A24"/>
      <c r="B24"/>
      <c r="C24" s="1"/>
    </row>
    <row r="25" spans="1:3" ht="15" x14ac:dyDescent="0.25">
      <c r="A25"/>
      <c r="B25"/>
      <c r="C25" s="1"/>
    </row>
    <row r="26" spans="1:3" ht="15" x14ac:dyDescent="0.25">
      <c r="A26"/>
      <c r="B26"/>
      <c r="C26" s="1"/>
    </row>
    <row r="27" spans="1:3" ht="15" x14ac:dyDescent="0.25">
      <c r="A27"/>
      <c r="B27"/>
      <c r="C27" s="1"/>
    </row>
    <row r="28" spans="1:3" ht="15" x14ac:dyDescent="0.25">
      <c r="A28"/>
      <c r="B28"/>
      <c r="C28" s="1"/>
    </row>
    <row r="29" spans="1:3" x14ac:dyDescent="0.2">
      <c r="A29" s="1"/>
      <c r="B29" s="1"/>
      <c r="C29" s="1"/>
    </row>
    <row r="30" spans="1:3" x14ac:dyDescent="0.2">
      <c r="A30" s="75" t="s">
        <v>226</v>
      </c>
      <c r="B30" s="75"/>
      <c r="C30" s="1"/>
    </row>
    <row r="31" spans="1:3" x14ac:dyDescent="0.2">
      <c r="A31" s="75"/>
      <c r="B31" s="75"/>
      <c r="C31" s="1"/>
    </row>
    <row r="32" spans="1:3" x14ac:dyDescent="0.2">
      <c r="A32" s="1"/>
      <c r="B32" s="1"/>
      <c r="C32" s="1"/>
    </row>
    <row r="33" spans="1:11" x14ac:dyDescent="0.2">
      <c r="A33" s="1"/>
      <c r="B33" s="1"/>
      <c r="C33" s="1"/>
    </row>
    <row r="34" spans="1:11" x14ac:dyDescent="0.2">
      <c r="A34" s="1"/>
      <c r="B34" s="1"/>
      <c r="C34" s="1"/>
    </row>
    <row r="35" spans="1:11" x14ac:dyDescent="0.2">
      <c r="A35" s="1"/>
      <c r="B35" s="1"/>
      <c r="C35" s="1"/>
    </row>
    <row r="36" spans="1:11" x14ac:dyDescent="0.2">
      <c r="A36" s="1"/>
      <c r="B36" s="1"/>
      <c r="C36" s="1"/>
    </row>
    <row r="37" spans="1:11" ht="27.75" customHeight="1" x14ac:dyDescent="0.25">
      <c r="A37" s="71" t="s">
        <v>227</v>
      </c>
      <c r="B37" s="71"/>
      <c r="C37" s="110" t="s">
        <v>228</v>
      </c>
      <c r="D37" s="110"/>
      <c r="E37" s="110"/>
      <c r="F37" s="72" t="s">
        <v>229</v>
      </c>
      <c r="G37" s="72"/>
      <c r="H37" s="72"/>
      <c r="I37" s="74" t="s">
        <v>230</v>
      </c>
      <c r="J37" s="74"/>
      <c r="K37" s="74"/>
    </row>
    <row r="38" spans="1:11" ht="29.25" customHeight="1" x14ac:dyDescent="0.25">
      <c r="A38" s="68">
        <f>SUM('Analisis de productos'!E:E)</f>
        <v>1055000</v>
      </c>
      <c r="B38" s="71"/>
      <c r="C38" s="111">
        <f>SUM('Analisis de productos'!G:G)</f>
        <v>500000</v>
      </c>
      <c r="D38" s="110"/>
      <c r="E38" s="110"/>
      <c r="F38" s="73">
        <f>'Financiero '!B10/'Financiero '!B4</f>
        <v>0.12815165876777251</v>
      </c>
      <c r="G38" s="73"/>
      <c r="H38" s="73"/>
      <c r="I38" s="74">
        <f>COUNTIF('Analisis de productos'!D:D,0)</f>
        <v>6</v>
      </c>
      <c r="J38" s="74"/>
      <c r="K38" s="74"/>
    </row>
  </sheetData>
  <mergeCells count="9">
    <mergeCell ref="F37:H37"/>
    <mergeCell ref="F38:H38"/>
    <mergeCell ref="I37:K37"/>
    <mergeCell ref="I38:K38"/>
    <mergeCell ref="A30:B31"/>
    <mergeCell ref="A37:B37"/>
    <mergeCell ref="A38:B38"/>
    <mergeCell ref="C37:E37"/>
    <mergeCell ref="C38:E38"/>
  </mergeCells>
  <pageMargins left="0.7" right="0.7" top="0.75" bottom="0.75" header="0.3" footer="0.3"/>
  <pageSetup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Proveedores</vt:lpstr>
      <vt:lpstr>Ordenes de Compra </vt:lpstr>
      <vt:lpstr>OC VISUAL</vt:lpstr>
      <vt:lpstr>Ficha de Productos</vt:lpstr>
      <vt:lpstr>Inventario </vt:lpstr>
      <vt:lpstr>Clientes</vt:lpstr>
      <vt:lpstr>Ventas</vt:lpstr>
      <vt:lpstr>Factura de Venta</vt:lpstr>
      <vt:lpstr>Costos</vt:lpstr>
      <vt:lpstr>No Inventariable</vt:lpstr>
      <vt:lpstr>Analisis de productos</vt:lpstr>
      <vt:lpstr>Financiero </vt:lpstr>
      <vt:lpstr>Control IVA</vt:lpstr>
      <vt:lpstr>Visualización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Infopunto</dc:creator>
  <cp:lastModifiedBy>Infopunto</cp:lastModifiedBy>
  <dcterms:created xsi:type="dcterms:W3CDTF">2026-04-06T12:20:33Z</dcterms:created>
  <dcterms:modified xsi:type="dcterms:W3CDTF">2026-04-23T13:12:29Z</dcterms:modified>
</cp:coreProperties>
</file>